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a6ad098d204f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級場站明細" sheetId="1" r:id="R6e914798b9764a07"/>
    <x:sheet xmlns:r="http://schemas.openxmlformats.org/officeDocument/2006/relationships" name="行政區比較" sheetId="2" r:id="Re17cdf6ca98045e7"/>
    <x:sheet xmlns:r="http://schemas.openxmlformats.org/officeDocument/2006/relationships" name="車輛數" sheetId="3" r:id="R056d86f91ee44c7f"/>
    <x:sheet xmlns:r="http://schemas.openxmlformats.org/officeDocument/2006/relationships" name="配置與總用量" sheetId="4" r:id="Rfc876e06463148ad"/>
    <x:sheet xmlns:r="http://schemas.openxmlformats.org/officeDocument/2006/relationships" name="配置成效整合" sheetId="5" r:id="Rde97b1ee3c0c4284"/>
  </x:sheets>
</x:workbook>
</file>

<file path=xl/sharedStrings.xml><?xml version="1.0" encoding="utf-8"?>
<x:sst xmlns:x="http://schemas.openxmlformats.org/spreadsheetml/2006/main">
  <x:si>
    <x:r>
      <x:rPr>
        <x:b/>
        <x:sz val="1400"/>
        <x:color rgb="FFFFFFFF"/>
        <x:rFont val="Arial"/>
        <x:family val="2"/>
      </x:rPr>
      <x:t xml:space="preserve">YouBike A</x:t>
    </x:r>
    <x:r>
      <x:rPr>
        <x:b/>
        <x:sz val="1400"/>
        <x:color rgb="FFFFFFFF"/>
        <x:rFont val="Noto Sans CJK SC"/>
        <x:family val="2"/>
      </x:rPr>
      <x:t xml:space="preserve">級場站　用量 </x:t>
    </x:r>
    <x:r>
      <x:rPr>
        <x:b/>
        <x:sz val="1400"/>
        <x:color rgb="FFFFFFFF"/>
        <x:rFont val="Arial"/>
        <x:family val="2"/>
      </x:rPr>
      <x:t xml:space="preserve">× </x:t>
    </x:r>
    <x:r>
      <x:rPr>
        <x:b/>
        <x:sz val="1400"/>
        <x:color rgb="FFFFFFFF"/>
        <x:rFont val="Noto Sans CJK SC"/>
        <x:family val="2"/>
      </x:rPr>
      <x:t xml:space="preserve">見車率　平日比較（</x:t>
    </x:r>
    <x:r>
      <x:rPr>
        <x:b/>
        <x:sz val="1400"/>
        <x:color rgb="FFFFFFFF"/>
        <x:rFont val="Arial"/>
        <x:family val="2"/>
      </x:rPr>
      <x:t xml:space="preserve">2026</x:t>
    </x:r>
    <x:r>
      <x:rPr>
        <x:b/>
        <x:sz val="1400"/>
        <x:color rgb="FFFFFFFF"/>
        <x:rFont val="Noto Sans CJK SC"/>
        <x:family val="2"/>
      </x:rPr>
      <x:t xml:space="preserve">年 </x:t>
    </x:r>
    <x:r>
      <x:rPr>
        <x:b/>
        <x:sz val="1400"/>
        <x:color rgb="FFFFFFFF"/>
        <x:rFont val="Arial"/>
        <x:family val="2"/>
      </x:rPr>
      <x:t xml:space="preserve">3</x:t>
    </x:r>
    <x:r>
      <x:rPr>
        <x:b/>
        <x:sz val="1400"/>
        <x:color rgb="FFFFFFFF"/>
        <x:rFont val="Noto Sans CJK SC"/>
        <x:family val="2"/>
      </x:rPr>
      <x:t xml:space="preserve">月 </x:t>
    </x:r>
    <x:r>
      <x:rPr>
        <x:b/>
        <x:sz val="1400"/>
        <x:color rgb="FFFFFFFF"/>
        <x:rFont val="Arial"/>
        <x:family val="2"/>
      </x:rPr>
      <x:t xml:space="preserve">vs 7</x:t>
    </x:r>
    <x:r>
      <x:rPr>
        <x:b/>
        <x:sz val="1400"/>
        <x:color rgb="FFFFFFFF"/>
        <x:rFont val="Noto Sans CJK SC"/>
        <x:family val="2"/>
      </x:rPr>
      <x:t xml:space="preserve">月）</x:t>
    </x:r>
  </x:si>
  <x:si>
    <x:r>
      <x:rPr>
        <x:sz val="900"/>
        <x:color rgb="FF595959"/>
        <x:rFont val="Arial"/>
        <x:family val="2"/>
      </x:rPr>
      <x:t xml:space="preserve">※ 3</x:t>
    </x:r>
    <x:r>
      <x:rPr>
        <x:sz val="900"/>
        <x:color rgb="FF595959"/>
        <x:rFont val="Noto Sans CJK SC"/>
        <x:family val="2"/>
      </x:rPr>
      <x:t xml:space="preserve">月＝</x:t>
    </x:r>
    <x:r>
      <x:rPr>
        <x:sz val="900"/>
        <x:color rgb="FF595959"/>
        <x:rFont val="Arial"/>
        <x:family val="2"/>
      </x:rPr>
      <x:t xml:space="preserve">2026/3/1–3/31</x:t>
    </x:r>
    <x:r>
      <x:rPr>
        <x:sz val="900"/>
        <x:color rgb="FF595959"/>
        <x:rFont val="Noto Sans CJK SC"/>
        <x:family val="2"/>
      </x:rPr>
      <x:t xml:space="preserve">全部平日（</x:t>
    </x:r>
    <x:r>
      <x:rPr>
        <x:sz val="900"/>
        <x:color rgb="FF595959"/>
        <x:rFont val="Arial"/>
        <x:family val="2"/>
      </x:rPr>
      <x:t xml:space="preserve">22</x:t>
    </x:r>
    <x:r>
      <x:rPr>
        <x:sz val="900"/>
        <x:color rgb="FF595959"/>
        <x:rFont val="Noto Sans CJK SC"/>
        <x:family val="2"/>
      </x:rPr>
      <x:t xml:space="preserve">天，週一至週五，無國定假日）。</x:t>
    </x:r>
  </x:si>
  <x:si>
    <x:r>
      <x:rPr>
        <x:sz val="900"/>
        <x:color rgb="FF595959"/>
        <x:rFont val="Arial"/>
        <x:family val="2"/>
      </x:rPr>
      <x:t xml:space="preserve">※ 7</x:t>
    </x:r>
    <x:r>
      <x:rPr>
        <x:sz val="900"/>
        <x:color rgb="FF595959"/>
        <x:rFont val="Noto Sans CJK SC"/>
        <x:family val="2"/>
      </x:rPr>
      <x:t xml:space="preserve">月＝僅取代表日 </x:t>
    </x:r>
    <x:r>
      <x:rPr>
        <x:sz val="900"/>
        <x:color rgb="FF595959"/>
        <x:rFont val="Arial"/>
        <x:family val="2"/>
      </x:rPr>
      <x:t xml:space="preserve">7/8</x:t>
    </x:r>
    <x:r>
      <x:rPr>
        <x:sz val="900"/>
        <x:color rgb="FF595959"/>
        <x:rFont val="Noto Sans CJK SC"/>
        <x:family val="2"/>
      </x:rPr>
      <x:t xml:space="preserve">、</x:t>
    </x:r>
    <x:r>
      <x:rPr>
        <x:sz val="900"/>
        <x:color rgb="FF595959"/>
        <x:rFont val="Arial"/>
        <x:family val="2"/>
      </x:rPr>
      <x:t xml:space="preserve">7/9</x:t>
    </x:r>
    <x:r>
      <x:rPr>
        <x:sz val="900"/>
        <x:color rgb="FF595959"/>
        <x:rFont val="Noto Sans CJK SC"/>
        <x:family val="2"/>
      </x:rPr>
      <x:t xml:space="preserve">、</x:t>
    </x:r>
    <x:r>
      <x:rPr>
        <x:sz val="900"/>
        <x:color rgb="FF595959"/>
        <x:rFont val="Arial"/>
        <x:family val="2"/>
      </x:rPr>
      <x:t xml:space="preserve">7/22</x:t>
    </x:r>
    <x:r>
      <x:rPr>
        <x:sz val="900"/>
        <x:color rgb="FF595959"/>
        <x:rFont val="Noto Sans CJK SC"/>
        <x:family val="2"/>
      </x:rPr>
      <x:t xml:space="preserve">、</x:t>
    </x:r>
    <x:r>
      <x:rPr>
        <x:sz val="900"/>
        <x:color rgb="FF595959"/>
        <x:rFont val="Arial"/>
        <x:family val="2"/>
      </x:rPr>
      <x:t xml:space="preserve">7/23</x:t>
    </x:r>
    <x:r>
      <x:rPr>
        <x:sz val="900"/>
        <x:color rgb="FF595959"/>
        <x:rFont val="Noto Sans CJK SC"/>
        <x:family val="2"/>
      </x:rPr>
      <x:t xml:space="preserve">、</x:t>
    </x:r>
    <x:r>
      <x:rPr>
        <x:sz val="900"/>
        <x:color rgb="FF595959"/>
        <x:rFont val="Arial"/>
        <x:family val="2"/>
      </x:rPr>
      <x:t xml:space="preserve">7/24</x:t>
    </x:r>
    <x:r>
      <x:rPr>
        <x:sz val="900"/>
        <x:color rgb="FF595959"/>
        <x:rFont val="Noto Sans CJK SC"/>
        <x:family val="2"/>
      </x:rPr>
      <x:t xml:space="preserve">（</x:t>
    </x:r>
    <x:r>
      <x:rPr>
        <x:sz val="900"/>
        <x:color rgb="FF595959"/>
        <x:rFont val="Arial"/>
        <x:family val="2"/>
      </x:rPr>
      <x:t xml:space="preserve">5</x:t>
    </x:r>
    <x:r>
      <x:rPr>
        <x:sz val="900"/>
        <x:color rgb="FF595959"/>
        <x:rFont val="Noto Sans CJK SC"/>
        <x:family val="2"/>
      </x:rPr>
      <x:t xml:space="preserve">個平日）；用量與見車率皆只用這</x:t>
    </x:r>
    <x:r>
      <x:rPr>
        <x:sz val="900"/>
        <x:color rgb="FF595959"/>
        <x:rFont val="Arial"/>
        <x:family val="2"/>
      </x:rPr>
      <x:t xml:space="preserve">5</x:t>
    </x:r>
    <x:r>
      <x:rPr>
        <x:sz val="900"/>
        <x:color rgb="FF595959"/>
        <x:rFont val="Noto Sans CJK SC"/>
        <x:family val="2"/>
      </x:rPr>
      <x:t xml:space="preserve">天平均。</x:t>
    </x:r>
  </x:si>
  <x:si>
    <x:t xml:space="preserve">※ 用量：CPS場站流量「總計」欄之單日平均借車次數；變化率＝(7月－3月)／3月。</x:t>
  </x:si>
  <x:si>
    <x:t xml:space="preserve">※ 見車率：Report見車率統計日報。6–24時＝06–23時；7–9時＝07/08/09時；17–19時＝17/18/19時；差異為百分點(pp)。</x:t>
  </x:si>
  <x:si>
    <x:t xml:space="preserve">※ 臺鐵鳳鳴站7月（上述5日）無資料，7月欄從缺；該站屬場站狀態變動，請另行確認。3月為整月、7月為5代表日，天數不同請留意。</x:t>
  </x:si>
  <x:si>
    <x:t xml:space="preserve">序</x:t>
  </x:si>
  <x:si>
    <x:t xml:space="preserve">城市</x:t>
  </x:si>
  <x:si>
    <x:t xml:space="preserve">行政區</x:t>
  </x:si>
  <x:si>
    <x:t xml:space="preserve">場站名稱</x:t>
  </x:si>
  <x:si>
    <x:t xml:space="preserve">用量（單日平均借車）</x:t>
  </x:si>
  <x:si>
    <x:t xml:space="preserve">見車率 6–24時</x:t>
  </x:si>
  <x:si>
    <x:t xml:space="preserve">見車率 7–9時</x:t>
  </x:si>
  <x:si>
    <x:t xml:space="preserve">見車率 17–19時</x:t>
  </x:si>
  <x:si>
    <x:r>
      <x:rPr>
        <x:b/>
        <x:sz val="900"/>
        <x:color rgb="FF000000"/>
        <x:rFont val="Arial"/>
        <x:family val="2"/>
      </x:rPr>
      <x:t xml:space="preserve">3</x:t>
    </x:r>
    <x:r>
      <x:rPr>
        <x:b/>
        <x:sz val="900"/>
        <x:color rgb="FF000000"/>
        <x:rFont val="Noto Sans CJK SC"/>
        <x:family val="2"/>
      </x:rPr>
      <x:t xml:space="preserve">月</x:t>
    </x:r>
  </x:si>
  <x:si>
    <x:r>
      <x:rPr>
        <x:b/>
        <x:sz val="900"/>
        <x:color rgb="FF000000"/>
        <x:rFont val="Arial"/>
        <x:family val="2"/>
      </x:rPr>
      <x:t xml:space="preserve">7</x:t>
    </x:r>
    <x:r>
      <x:rPr>
        <x:b/>
        <x:sz val="900"/>
        <x:color rgb="FF000000"/>
        <x:rFont val="Noto Sans CJK SC"/>
        <x:family val="2"/>
      </x:rPr>
      <x:t xml:space="preserve">月</x:t>
    </x:r>
  </x:si>
  <x:si>
    <x:t xml:space="preserve">差異</x:t>
  </x:si>
  <x:si>
    <x:t xml:space="preserve">變化率</x:t>
  </x:si>
  <x:si>
    <x:r>
      <x:rPr>
        <x:b/>
        <x:sz val="900"/>
        <x:color rgb="FF000000"/>
        <x:rFont val="Arial"/>
        <x:family val="2"/>
      </x:rPr>
      <x:t xml:space="preserve">A</x:t>
    </x:r>
    <x:r>
      <x:rPr>
        <x:b/>
        <x:sz val="900"/>
        <x:color rgb="FF000000"/>
        <x:rFont val="Noto Sans CJK SC"/>
        <x:family val="2"/>
      </x:rPr>
      <x:t xml:space="preserve">級合計 </x:t>
    </x:r>
    <x:r>
      <x:rPr>
        <x:b/>
        <x:sz val="900"/>
        <x:color rgb="FF000000"/>
        <x:rFont val="Arial"/>
        <x:family val="2"/>
      </x:rPr>
      <x:t xml:space="preserve">/ </x:t>
    </x:r>
    <x:r>
      <x:rPr>
        <x:b/>
        <x:sz val="900"/>
        <x:color rgb="FF000000"/>
        <x:rFont val="Noto Sans CJK SC"/>
        <x:family val="2"/>
      </x:rPr>
      <x:t xml:space="preserve">平均（</x:t>
    </x:r>
    <x:r>
      <x:rPr>
        <x:b/>
        <x:sz val="900"/>
        <x:color rgb="FF000000"/>
        <x:rFont val="Arial"/>
        <x:family val="2"/>
      </x:rPr>
      <x:t xml:space="preserve">191</x:t>
    </x:r>
    <x:r>
      <x:rPr>
        <x:b/>
        <x:sz val="900"/>
        <x:color rgb="FF000000"/>
        <x:rFont val="Noto Sans CJK SC"/>
        <x:family val="2"/>
      </x:rPr>
      <x:t xml:space="preserve">站）</x:t>
    </x:r>
  </x:si>
  <x:si>
    <x:r>
      <x:rPr>
        <x:b/>
        <x:sz val="1400"/>
        <x:color rgb="FFFFFFFF"/>
        <x:rFont val="Arial"/>
        <x:family val="2"/>
      </x:rPr>
      <x:t xml:space="preserve">YouBike A</x:t>
    </x:r>
    <x:r>
      <x:rPr>
        <x:b/>
        <x:sz val="1400"/>
        <x:color rgb="FFFFFFFF"/>
        <x:rFont val="Noto Sans CJK SC"/>
        <x:family val="2"/>
      </x:rPr>
      <x:t xml:space="preserve">級場站　行政區彙總　平日比較（</x:t>
    </x:r>
    <x:r>
      <x:rPr>
        <x:b/>
        <x:sz val="1400"/>
        <x:color rgb="FFFFFFFF"/>
        <x:rFont val="Arial"/>
        <x:family val="2"/>
      </x:rPr>
      <x:t xml:space="preserve">2026</x:t>
    </x:r>
    <x:r>
      <x:rPr>
        <x:b/>
        <x:sz val="1400"/>
        <x:color rgb="FFFFFFFF"/>
        <x:rFont val="Noto Sans CJK SC"/>
        <x:family val="2"/>
      </x:rPr>
      <x:t xml:space="preserve">年 </x:t>
    </x:r>
    <x:r>
      <x:rPr>
        <x:b/>
        <x:sz val="1400"/>
        <x:color rgb="FFFFFFFF"/>
        <x:rFont val="Arial"/>
        <x:family val="2"/>
      </x:rPr>
      <x:t xml:space="preserve">3</x:t>
    </x:r>
    <x:r>
      <x:rPr>
        <x:b/>
        <x:sz val="1400"/>
        <x:color rgb="FFFFFFFF"/>
        <x:rFont val="Noto Sans CJK SC"/>
        <x:family val="2"/>
      </x:rPr>
      <x:t xml:space="preserve">月 </x:t>
    </x:r>
    <x:r>
      <x:rPr>
        <x:b/>
        <x:sz val="1400"/>
        <x:color rgb="FFFFFFFF"/>
        <x:rFont val="Arial"/>
        <x:family val="2"/>
      </x:rPr>
      <x:t xml:space="preserve">vs 7</x:t>
    </x:r>
    <x:r>
      <x:rPr>
        <x:b/>
        <x:sz val="1400"/>
        <x:color rgb="FFFFFFFF"/>
        <x:rFont val="Noto Sans CJK SC"/>
        <x:family val="2"/>
      </x:rPr>
      <x:t xml:space="preserve">月）</x:t>
    </x:r>
  </x:si>
  <x:si>
    <x:t xml:space="preserve">※ 依行政區彙總A級場站。用量＝區內A級站「單日平均借車」加總；見車率＝區內A級站之算術平均（未加權）。變化率＝(7月－3月)／3月。</x:t>
  </x:si>
  <x:si>
    <x:r>
      <x:rPr>
        <x:sz val="900"/>
        <x:color rgb="FF595959"/>
        <x:rFont val="Arial"/>
        <x:family val="2"/>
      </x:rPr>
      <x:t xml:space="preserve">※ 3</x:t>
    </x:r>
    <x:r>
      <x:rPr>
        <x:sz val="900"/>
        <x:color rgb="FF595959"/>
        <x:rFont val="Noto Sans CJK SC"/>
        <x:family val="2"/>
      </x:rPr>
      <x:t xml:space="preserve">月＝整月平日</x:t>
    </x:r>
    <x:r>
      <x:rPr>
        <x:sz val="900"/>
        <x:color rgb="FF595959"/>
        <x:rFont val="Arial"/>
        <x:family val="2"/>
      </x:rPr>
      <x:t xml:space="preserve">(22</x:t>
    </x:r>
    <x:r>
      <x:rPr>
        <x:sz val="900"/>
        <x:color rgb="FF595959"/>
        <x:rFont val="Noto Sans CJK SC"/>
        <x:family val="2"/>
      </x:rPr>
      <x:t xml:space="preserve">天</x:t>
    </x:r>
    <x:r>
      <x:rPr>
        <x:sz val="900"/>
        <x:color rgb="FF595959"/>
        <x:rFont val="Arial"/>
        <x:family val="2"/>
      </x:rPr>
      <x:t xml:space="preserve">)</x:t>
    </x:r>
    <x:r>
      <x:rPr>
        <x:sz val="900"/>
        <x:color rgb="FF595959"/>
        <x:rFont val="Noto Sans CJK SC"/>
        <x:family val="2"/>
      </x:rPr>
      <x:t xml:space="preserve">；</x:t>
    </x:r>
    <x:r>
      <x:rPr>
        <x:sz val="900"/>
        <x:color rgb="FF595959"/>
        <x:rFont val="Arial"/>
        <x:family val="2"/>
      </x:rPr>
      <x:t xml:space="preserve">7</x:t>
    </x:r>
    <x:r>
      <x:rPr>
        <x:sz val="900"/>
        <x:color rgb="FF595959"/>
        <x:rFont val="Noto Sans CJK SC"/>
        <x:family val="2"/>
      </x:rPr>
      <x:t xml:space="preserve">月＝代表日</x:t>
    </x:r>
    <x:r>
      <x:rPr>
        <x:sz val="900"/>
        <x:color rgb="FF595959"/>
        <x:rFont val="Arial"/>
        <x:family val="2"/>
      </x:rPr>
      <x:t xml:space="preserve">7/8</x:t>
    </x:r>
    <x:r>
      <x:rPr>
        <x:sz val="900"/>
        <x:color rgb="FF595959"/>
        <x:rFont val="Noto Sans CJK SC"/>
        <x:family val="2"/>
      </x:rPr>
      <x:t xml:space="preserve">、</x:t>
    </x:r>
    <x:r>
      <x:rPr>
        <x:sz val="900"/>
        <x:color rgb="FF595959"/>
        <x:rFont val="Arial"/>
        <x:family val="2"/>
      </x:rPr>
      <x:t xml:space="preserve">7/9</x:t>
    </x:r>
    <x:r>
      <x:rPr>
        <x:sz val="900"/>
        <x:color rgb="FF595959"/>
        <x:rFont val="Noto Sans CJK SC"/>
        <x:family val="2"/>
      </x:rPr>
      <x:t xml:space="preserve">、</x:t>
    </x:r>
    <x:r>
      <x:rPr>
        <x:sz val="900"/>
        <x:color rgb="FF595959"/>
        <x:rFont val="Arial"/>
        <x:family val="2"/>
      </x:rPr>
      <x:t xml:space="preserve">7/22–7/24(5</x:t>
    </x:r>
    <x:r>
      <x:rPr>
        <x:sz val="900"/>
        <x:color rgb="FF595959"/>
        <x:rFont val="Noto Sans CJK SC"/>
        <x:family val="2"/>
      </x:rPr>
      <x:t xml:space="preserve">天</x:t>
    </x:r>
    <x:r>
      <x:rPr>
        <x:sz val="900"/>
        <x:color rgb="FF595959"/>
        <x:rFont val="Arial"/>
        <x:family val="2"/>
      </x:rPr>
      <x:t xml:space="preserve">)</x:t>
    </x:r>
    <x:r>
      <x:rPr>
        <x:sz val="900"/>
        <x:color rgb="FF595959"/>
        <x:rFont val="Noto Sans CJK SC"/>
        <x:family val="2"/>
      </x:rPr>
      <x:t xml:space="preserve">。見車率差異為百分點</x:t>
    </x:r>
    <x:r>
      <x:rPr>
        <x:sz val="900"/>
        <x:color rgb="FF595959"/>
        <x:rFont val="Arial"/>
        <x:family val="2"/>
      </x:rPr>
      <x:t xml:space="preserve">(pp)</x:t>
    </x:r>
    <x:r>
      <x:rPr>
        <x:sz val="900"/>
        <x:color rgb="FF595959"/>
        <x:rFont val="Noto Sans CJK SC"/>
        <x:family val="2"/>
      </x:rPr>
      <x:t xml:space="preserve">。</x:t>
    </x:r>
  </x:si>
  <x:si>
    <x:t xml:space="preserve">※ 各月以當月有資料之站彙總。新北市鶯歌區僅臺鐵鳳鳴站1站、7月無資料，故該區7月從缺、差異不計。</x:t>
  </x:si>
  <x:si>
    <x:t xml:space="preserve">站數</x:t>
  </x:si>
  <x:si>
    <x:t xml:space="preserve">用量（區內合計日均）</x:t>
  </x:si>
  <x:si>
    <x:t xml:space="preserve">台北市 小計</x:t>
  </x:si>
  <x:si>
    <x:t xml:space="preserve">新北市 小計</x:t>
  </x:si>
  <x:si>
    <x:r>
      <x:rPr>
        <x:b/>
        <x:sz val="900"/>
        <x:color rgb="FF000000"/>
        <x:rFont val="Arial"/>
        <x:family val="2"/>
      </x:rPr>
      <x:t xml:space="preserve">A</x:t>
    </x:r>
    <x:r>
      <x:rPr>
        <x:b/>
        <x:sz val="900"/>
        <x:color rgb="FF000000"/>
        <x:rFont val="Noto Sans CJK SC"/>
        <x:family val="2"/>
      </x:rPr>
      <x:t xml:space="preserve">級合計 </x:t>
    </x:r>
    <x:r>
      <x:rPr>
        <x:b/>
        <x:sz val="900"/>
        <x:color rgb="FF000000"/>
        <x:rFont val="Arial"/>
        <x:family val="2"/>
      </x:rPr>
      <x:t xml:space="preserve">/ </x:t>
    </x:r>
    <x:r>
      <x:rPr>
        <x:b/>
        <x:sz val="900"/>
        <x:color rgb="FF000000"/>
        <x:rFont val="Noto Sans CJK SC"/>
        <x:family val="2"/>
      </x:rPr>
      <x:t xml:space="preserve">平均</x:t>
    </x:r>
  </x:si>
  <x:si>
    <x:r>
      <x:rPr>
        <x:sz val="1100"/>
        <x:color theme="1"/>
        <x:rFont val="Calibri"/>
        <x:family val="2"/>
      </x:rPr>
      <x:t xml:space="preserve">3</x:t>
    </x:r>
    <x:r>
      <x:rPr>
        <x:sz val="1100"/>
        <x:color theme="1"/>
        <x:rFont val="Noto Sans CJK SC"/>
        <x:family val="2"/>
      </x:rPr>
      <x:t xml:space="preserve">月
平均車輛</x:t>
    </x:r>
  </x:si>
  <x:si>
    <x:t xml:space="preserve">上週
平均車輛數</x:t>
  </x:si>
  <x:si>
    <x:t xml:space="preserve">大安區</x:t>
  </x:si>
  <x:si>
    <x:t xml:space="preserve">中山區</x:t>
  </x:si>
  <x:si>
    <x:t xml:space="preserve">信義區</x:t>
  </x:si>
  <x:si>
    <x:t xml:space="preserve">松山區</x:t>
  </x:si>
  <x:si>
    <x:t xml:space="preserve">中正區</x:t>
  </x:si>
  <x:si>
    <x:t xml:space="preserve">內湖區</x:t>
  </x:si>
  <x:si>
    <x:t xml:space="preserve">臺大公館校區</x:t>
  </x:si>
  <x:si>
    <x:t xml:space="preserve">士林區</x:t>
  </x:si>
  <x:si>
    <x:t xml:space="preserve">大同區</x:t>
  </x:si>
  <x:si>
    <x:t xml:space="preserve">北投區</x:t>
  </x:si>
  <x:si>
    <x:t xml:space="preserve">南港區</x:t>
  </x:si>
  <x:si>
    <x:t xml:space="preserve">萬華區</x:t>
  </x:si>
  <x:si>
    <x:t xml:space="preserve">文山區</x:t>
  </x:si>
  <x:si>
    <x:t xml:space="preserve">板橋區</x:t>
  </x:si>
  <x:si>
    <x:t xml:space="preserve">新莊區</x:t>
  </x:si>
  <x:si>
    <x:t xml:space="preserve">三重區</x:t>
  </x:si>
  <x:si>
    <x:t xml:space="preserve">中和區</x:t>
  </x:si>
  <x:si>
    <x:t xml:space="preserve">新店區</x:t>
  </x:si>
  <x:si>
    <x:t xml:space="preserve">土城區</x:t>
  </x:si>
  <x:si>
    <x:t xml:space="preserve">永和區</x:t>
  </x:si>
  <x:si>
    <x:t xml:space="preserve">林口區</x:t>
  </x:si>
  <x:si>
    <x:t xml:space="preserve">蘆洲區</x:t>
  </x:si>
  <x:si>
    <x:t xml:space="preserve">汐止區</x:t>
  </x:si>
  <x:si>
    <x:t xml:space="preserve">三峽區</x:t>
  </x:si>
  <x:si>
    <x:t xml:space="preserve">淡水區</x:t>
  </x:si>
  <x:si>
    <x:t xml:space="preserve">樹林區</x:t>
  </x:si>
  <x:si>
    <x:t xml:space="preserve">鶯歌區</x:t>
  </x:si>
  <x:si>
    <x:t xml:space="preserve">泰山區</x:t>
  </x:si>
  <x:si>
    <x:t xml:space="preserve">五股區</x:t>
  </x:si>
  <x:si>
    <x:t xml:space="preserve">八里區</x:t>
  </x:si>
  <x:si>
    <x:t xml:space="preserve">山區濱海區</x:t>
  </x:si>
  <x:si>
    <x:r>
      <x:rPr>
        <x:b/>
        <x:sz val="1400"/>
        <x:color rgb="FFFFFFFF"/>
        <x:rFont val="Noto Sans CJK SC"/>
        <x:family val="2"/>
      </x:rPr>
      <x:t xml:space="preserve">各行政區</x:t>
    </x:r>
    <x:r>
      <x:rPr>
        <x:b/>
        <x:sz val="1400"/>
        <x:color rgb="FFFFFFFF"/>
        <x:rFont val="Arial"/>
        <x:family val="2"/>
      </x:rPr>
      <x:t xml:space="preserve">/</x:t>
    </x:r>
    <x:r>
      <x:rPr>
        <x:b/>
        <x:sz val="1400"/>
        <x:color rgb="FFFFFFFF"/>
        <x:rFont val="Noto Sans CJK SC"/>
        <x:family val="2"/>
      </x:rPr>
      <x:t xml:space="preserve">分區　車輛配置 </x:t>
    </x:r>
    <x:r>
      <x:rPr>
        <x:b/>
        <x:sz val="1400"/>
        <x:color rgb="FFFFFFFF"/>
        <x:rFont val="Arial"/>
        <x:family val="2"/>
      </x:rPr>
      <x:t xml:space="preserve">× </x:t>
    </x:r>
    <x:r>
      <x:rPr>
        <x:b/>
        <x:sz val="1400"/>
        <x:color rgb="FFFFFFFF"/>
        <x:rFont val="Noto Sans CJK SC"/>
        <x:family val="2"/>
      </x:rPr>
      <x:t xml:space="preserve">全區總用量　前後比較</x:t>
    </x:r>
  </x:si>
  <x:si>
    <x:r>
      <x:rPr>
        <x:sz val="900"/>
        <x:color rgb="FF595959"/>
        <x:rFont val="Noto Sans CJK SC"/>
        <x:family val="2"/>
      </x:rPr>
      <x:t xml:space="preserve">※ 車輛配置：前＝</x:t>
    </x:r>
    <x:r>
      <x:rPr>
        <x:sz val="900"/>
        <x:color rgb="FF595959"/>
        <x:rFont val="Arial"/>
        <x:family val="2"/>
      </x:rPr>
      <x:t xml:space="preserve">3</x:t>
    </x:r>
    <x:r>
      <x:rPr>
        <x:sz val="900"/>
        <x:color rgb="FF595959"/>
        <x:rFont val="Noto Sans CJK SC"/>
        <x:family val="2"/>
      </x:rPr>
      <x:t xml:space="preserve">月平均車輛、後＝上週平均車輛。總用量＝該區「全部場站」平日單日平均借車次數（依場站代號分區，含</x:t>
    </x:r>
    <x:r>
      <x:rPr>
        <x:sz val="900"/>
        <x:color rgb="FF595959"/>
        <x:rFont val="Arial"/>
        <x:family val="2"/>
      </x:rPr>
      <x:t xml:space="preserve">A</x:t>
    </x:r>
    <x:r>
      <x:rPr>
        <x:sz val="900"/>
        <x:color rgb="FF595959"/>
        <x:rFont val="Noto Sans CJK SC"/>
        <x:family val="2"/>
      </x:rPr>
      <x:t xml:space="preserve">級與非</x:t>
    </x:r>
    <x:r>
      <x:rPr>
        <x:sz val="900"/>
        <x:color rgb="FF595959"/>
        <x:rFont val="Arial"/>
        <x:family val="2"/>
      </x:rPr>
      <x:t xml:space="preserve">A</x:t>
    </x:r>
    <x:r>
      <x:rPr>
        <x:sz val="900"/>
        <x:color rgb="FF595959"/>
        <x:rFont val="Noto Sans CJK SC"/>
        <x:family val="2"/>
      </x:rPr>
      <x:t xml:space="preserve">級）。</x:t>
    </x:r>
  </x:si>
  <x:si>
    <x:r>
      <x:rPr>
        <x:sz val="900"/>
        <x:color rgb="FF595959"/>
        <x:rFont val="Arial"/>
        <x:family val="2"/>
      </x:rPr>
      <x:t xml:space="preserve">※ 3</x:t>
    </x:r>
    <x:r>
      <x:rPr>
        <x:sz val="900"/>
        <x:color rgb="FF595959"/>
        <x:rFont val="Noto Sans CJK SC"/>
        <x:family val="2"/>
      </x:rPr>
      <x:t xml:space="preserve">月＝整月平日</x:t>
    </x:r>
    <x:r>
      <x:rPr>
        <x:sz val="900"/>
        <x:color rgb="FF595959"/>
        <x:rFont val="Arial"/>
        <x:family val="2"/>
      </x:rPr>
      <x:t xml:space="preserve">(22</x:t>
    </x:r>
    <x:r>
      <x:rPr>
        <x:sz val="900"/>
        <x:color rgb="FF595959"/>
        <x:rFont val="Noto Sans CJK SC"/>
        <x:family val="2"/>
      </x:rPr>
      <x:t xml:space="preserve">天</x:t>
    </x:r>
    <x:r>
      <x:rPr>
        <x:sz val="900"/>
        <x:color rgb="FF595959"/>
        <x:rFont val="Arial"/>
        <x:family val="2"/>
      </x:rPr>
      <x:t xml:space="preserve">)</x:t>
    </x:r>
    <x:r>
      <x:rPr>
        <x:sz val="900"/>
        <x:color rgb="FF595959"/>
        <x:rFont val="Noto Sans CJK SC"/>
        <x:family val="2"/>
      </x:rPr>
      <x:t xml:space="preserve">；</x:t>
    </x:r>
    <x:r>
      <x:rPr>
        <x:sz val="900"/>
        <x:color rgb="FF595959"/>
        <x:rFont val="Arial"/>
        <x:family val="2"/>
      </x:rPr>
      <x:t xml:space="preserve">7</x:t>
    </x:r>
    <x:r>
      <x:rPr>
        <x:sz val="900"/>
        <x:color rgb="FF595959"/>
        <x:rFont val="Noto Sans CJK SC"/>
        <x:family val="2"/>
      </x:rPr>
      <x:t xml:space="preserve">月＝代表日</x:t>
    </x:r>
    <x:r>
      <x:rPr>
        <x:sz val="900"/>
        <x:color rgb="FF595959"/>
        <x:rFont val="Arial"/>
        <x:family val="2"/>
      </x:rPr>
      <x:t xml:space="preserve">7/8,7/9,7/22–24(5</x:t>
    </x:r>
    <x:r>
      <x:rPr>
        <x:sz val="900"/>
        <x:color rgb="FF595959"/>
        <x:rFont val="Noto Sans CJK SC"/>
        <x:family val="2"/>
      </x:rPr>
      <x:t xml:space="preserve">天</x:t>
    </x:r>
    <x:r>
      <x:rPr>
        <x:sz val="900"/>
        <x:color rgb="FF595959"/>
        <x:rFont val="Arial"/>
        <x:family val="2"/>
      </x:rPr>
      <x:t xml:space="preserve">)</x:t>
    </x:r>
    <x:r>
      <x:rPr>
        <x:sz val="900"/>
        <x:color rgb="FF595959"/>
        <x:rFont val="Noto Sans CJK SC"/>
        <x:family val="2"/>
      </x:rPr>
      <x:t xml:space="preserve">；上週為車輛數口徑。變化率＝</x:t>
    </x:r>
    <x:r>
      <x:rPr>
        <x:sz val="900"/>
        <x:color rgb="FF595959"/>
        <x:rFont val="Arial"/>
        <x:family val="2"/>
      </x:rPr>
      <x:t xml:space="preserve">(</x:t>
    </x:r>
    <x:r>
      <x:rPr>
        <x:sz val="900"/>
        <x:color rgb="FF595959"/>
        <x:rFont val="Noto Sans CJK SC"/>
        <x:family val="2"/>
      </x:rPr>
      <x:t xml:space="preserve">後－前</x:t>
    </x:r>
    <x:r>
      <x:rPr>
        <x:sz val="900"/>
        <x:color rgb="FF595959"/>
        <x:rFont val="Arial"/>
        <x:family val="2"/>
      </x:rPr>
      <x:t xml:space="preserve">)/</x:t>
    </x:r>
    <x:r>
      <x:rPr>
        <x:sz val="900"/>
        <x:color rgb="FF595959"/>
        <x:rFont val="Noto Sans CJK SC"/>
        <x:family val="2"/>
      </x:rPr>
      <x:t xml:space="preserve">前。含</x:t>
    </x:r>
    <x:r>
      <x:rPr>
        <x:sz val="900"/>
        <x:color rgb="FF595959"/>
        <x:rFont val="Arial"/>
        <x:family val="2"/>
      </x:rPr>
      <x:t xml:space="preserve">31</x:t>
    </x:r>
    <x:r>
      <x:rPr>
        <x:sz val="900"/>
        <x:color rgb="FF595959"/>
        <x:rFont val="Noto Sans CJK SC"/>
        <x:family val="2"/>
      </x:rPr>
      <x:t xml:space="preserve">個營運分區。</x:t>
    </x:r>
  </x:si>
  <x:si>
    <x:r>
      <x:rPr>
        <x:sz val="900"/>
        <x:color rgb="FF595959"/>
        <x:rFont val="Noto Sans CJK SC"/>
        <x:family val="2"/>
      </x:rPr>
      <x:t xml:space="preserve">※ 臺大公館校區、山區濱海區為營運分區（山區濱海含三芝</x:t>
    </x:r>
    <x:r>
      <x:rPr>
        <x:sz val="900"/>
        <x:color rgb="FF595959"/>
        <x:rFont val="Arial"/>
        <x:family val="2"/>
      </x:rPr>
      <x:t xml:space="preserve">/</x:t>
    </x:r>
    <x:r>
      <x:rPr>
        <x:sz val="900"/>
        <x:color rgb="FF595959"/>
        <x:rFont val="Noto Sans CJK SC"/>
        <x:family val="2"/>
      </x:rPr>
      <x:t xml:space="preserve">石門</x:t>
    </x:r>
    <x:r>
      <x:rPr>
        <x:sz val="900"/>
        <x:color rgb="FF595959"/>
        <x:rFont val="Arial"/>
        <x:family val="2"/>
      </x:rPr>
      <x:t xml:space="preserve">/</x:t>
    </x:r>
    <x:r>
      <x:rPr>
        <x:sz val="900"/>
        <x:color rgb="FF595959"/>
        <x:rFont val="Noto Sans CJK SC"/>
        <x:family val="2"/>
      </x:rPr>
      <x:t xml:space="preserve">石碇</x:t>
    </x:r>
    <x:r>
      <x:rPr>
        <x:sz val="900"/>
        <x:color rgb="FF595959"/>
        <x:rFont val="Arial"/>
        <x:family val="2"/>
      </x:rPr>
      <x:t xml:space="preserve">/</x:t>
    </x:r>
    <x:r>
      <x:rPr>
        <x:sz val="900"/>
        <x:color rgb="FF595959"/>
        <x:rFont val="Noto Sans CJK SC"/>
        <x:family val="2"/>
      </x:rPr>
      <x:t xml:space="preserve">平溪</x:t>
    </x:r>
    <x:r>
      <x:rPr>
        <x:sz val="900"/>
        <x:color rgb="FF595959"/>
        <x:rFont val="Arial"/>
        <x:family val="2"/>
      </x:rPr>
      <x:t xml:space="preserve">/</x:t>
    </x:r>
    <x:r>
      <x:rPr>
        <x:sz val="900"/>
        <x:color rgb="FF595959"/>
        <x:rFont val="Noto Sans CJK SC"/>
        <x:family val="2"/>
      </x:rPr>
      <x:t xml:space="preserve">金山</x:t>
    </x:r>
    <x:r>
      <x:rPr>
        <x:sz val="900"/>
        <x:color rgb="FF595959"/>
        <x:rFont val="Arial"/>
        <x:family val="2"/>
      </x:rPr>
      <x:t xml:space="preserve">/</x:t>
    </x:r>
    <x:r>
      <x:rPr>
        <x:sz val="900"/>
        <x:color rgb="FF595959"/>
        <x:rFont val="Noto Sans CJK SC"/>
        <x:family val="2"/>
      </x:rPr>
      <x:t xml:space="preserve">坪林</x:t>
    </x:r>
    <x:r>
      <x:rPr>
        <x:sz val="900"/>
        <x:color rgb="FF595959"/>
        <x:rFont val="Arial"/>
        <x:family val="2"/>
      </x:rPr>
      <x:t xml:space="preserve">/</x:t>
    </x:r>
    <x:r>
      <x:rPr>
        <x:sz val="900"/>
        <x:color rgb="FF595959"/>
        <x:rFont val="Noto Sans CJK SC"/>
        <x:family val="2"/>
      </x:rPr>
      <x:t xml:space="preserve">烏來</x:t>
    </x:r>
    <x:r>
      <x:rPr>
        <x:sz val="900"/>
        <x:color rgb="FF595959"/>
        <x:rFont val="Arial"/>
        <x:family val="2"/>
      </x:rPr>
      <x:t xml:space="preserve">/</x:t>
    </x:r>
    <x:r>
      <x:rPr>
        <x:sz val="900"/>
        <x:color rgb="FF595959"/>
        <x:rFont val="Noto Sans CJK SC"/>
        <x:family val="2"/>
      </x:rPr>
      <x:t xml:space="preserve">貢寮</x:t>
    </x:r>
    <x:r>
      <x:rPr>
        <x:sz val="900"/>
        <x:color rgb="FF595959"/>
        <x:rFont val="Arial"/>
        <x:family val="2"/>
      </x:rPr>
      <x:t xml:space="preserve">/</x:t>
    </x:r>
    <x:r>
      <x:rPr>
        <x:sz val="900"/>
        <x:color rgb="FF595959"/>
        <x:rFont val="Noto Sans CJK SC"/>
        <x:family val="2"/>
      </x:rPr>
      <x:t xml:space="preserve">深坑</x:t>
    </x:r>
    <x:r>
      <x:rPr>
        <x:sz val="900"/>
        <x:color rgb="FF595959"/>
        <x:rFont val="Arial"/>
        <x:family val="2"/>
      </x:rPr>
      <x:t xml:space="preserve">/</x:t>
    </x:r>
    <x:r>
      <x:rPr>
        <x:sz val="900"/>
        <x:color rgb="FF595959"/>
        <x:rFont val="Noto Sans CJK SC"/>
        <x:family val="2"/>
      </x:rPr>
      <x:t xml:space="preserve">萬里</x:t>
    </x:r>
    <x:r>
      <x:rPr>
        <x:sz val="900"/>
        <x:color rgb="FF595959"/>
        <x:rFont val="Arial"/>
        <x:family val="2"/>
      </x:rPr>
      <x:t xml:space="preserve">/</x:t>
    </x:r>
    <x:r>
      <x:rPr>
        <x:sz val="900"/>
        <x:color rgb="FF595959"/>
        <x:rFont val="Noto Sans CJK SC"/>
        <x:family val="2"/>
      </x:rPr>
      <x:t xml:space="preserve">瑞芳</x:t>
    </x:r>
    <x:r>
      <x:rPr>
        <x:sz val="900"/>
        <x:color rgb="FF595959"/>
        <x:rFont val="Arial"/>
        <x:family val="2"/>
      </x:rPr>
      <x:t xml:space="preserve">/</x:t>
    </x:r>
    <x:r>
      <x:rPr>
        <x:sz val="900"/>
        <x:color rgb="FF595959"/>
        <x:rFont val="Noto Sans CJK SC"/>
        <x:family val="2"/>
      </x:rPr>
      <x:t xml:space="preserve">雙溪）。</x:t>
    </x:r>
  </x:si>
  <x:si>
    <x:r>
      <x:rPr>
        <x:b/>
        <x:sz val="1000"/>
        <x:color rgb="FFFFFFFF"/>
        <x:rFont val="Noto Sans CJK SC"/>
        <x:family val="2"/>
      </x:rPr>
      <x:t xml:space="preserve">行政區</x:t>
    </x:r>
    <x:r>
      <x:rPr>
        <x:b/>
        <x:sz val="1000"/>
        <x:color rgb="FFFFFFFF"/>
        <x:rFont val="Arial"/>
        <x:family val="2"/>
      </x:rPr>
      <x:t xml:space="preserve">/</x:t>
    </x:r>
    <x:r>
      <x:rPr>
        <x:b/>
        <x:sz val="1000"/>
        <x:color rgb="FFFFFFFF"/>
        <x:rFont val="Noto Sans CJK SC"/>
        <x:family val="2"/>
      </x:rPr>
      <x:t xml:space="preserve">分區</x:t>
    </x:r>
  </x:si>
  <x:si>
    <x:t xml:space="preserve">車輛配置（平均車輛）</x:t>
  </x:si>
  <x:si>
    <x:t xml:space="preserve">全區總用量（平日日均借車）</x:t>
  </x:si>
  <x:si>
    <x:t xml:space="preserve">上週</x:t>
  </x:si>
  <x:si>
    <x:t xml:space="preserve">總計</x:t>
  </x:si>
  <x:si>
    <x:r>
      <x:rPr>
        <x:b/>
        <x:sz val="1400"/>
        <x:color rgb="FFFFFFFF"/>
        <x:rFont val="Noto Sans CJK SC"/>
        <x:family val="2"/>
      </x:rPr>
      <x:t xml:space="preserve">各行政區　配置 </x:t>
    </x:r>
    <x:r>
      <x:rPr>
        <x:b/>
        <x:sz val="1400"/>
        <x:color rgb="FFFFFFFF"/>
        <x:rFont val="Arial"/>
        <x:family val="2"/>
      </x:rPr>
      <x:t xml:space="preserve">× </x:t>
    </x:r>
    <x:r>
      <x:rPr>
        <x:b/>
        <x:sz val="1400"/>
        <x:color rgb="FFFFFFFF"/>
        <x:rFont val="Noto Sans CJK SC"/>
        <x:family val="2"/>
      </x:rPr>
      <x:t xml:space="preserve">總用量 </x:t>
    </x:r>
    <x:r>
      <x:rPr>
        <x:b/>
        <x:sz val="1400"/>
        <x:color rgb="FFFFFFFF"/>
        <x:rFont val="Arial"/>
        <x:family val="2"/>
      </x:rPr>
      <x:t xml:space="preserve">× A</x:t>
    </x:r>
    <x:r>
      <x:rPr>
        <x:b/>
        <x:sz val="1400"/>
        <x:color rgb="FFFFFFFF"/>
        <x:rFont val="Noto Sans CJK SC"/>
        <x:family val="2"/>
      </x:rPr>
      <x:t xml:space="preserve">級用量 </x:t>
    </x:r>
    <x:r>
      <x:rPr>
        <x:b/>
        <x:sz val="1400"/>
        <x:color rgb="FFFFFFFF"/>
        <x:rFont val="Arial"/>
        <x:family val="2"/>
      </x:rPr>
      <x:t xml:space="preserve">× A</x:t>
    </x:r>
    <x:r>
      <x:rPr>
        <x:b/>
        <x:sz val="1400"/>
        <x:color rgb="FFFFFFFF"/>
        <x:rFont val="Noto Sans CJK SC"/>
        <x:family val="2"/>
      </x:rPr>
      <x:t xml:space="preserve">級見車率　整合比較</x:t>
    </x:r>
  </x:si>
  <x:si>
    <x:r>
      <x:rPr>
        <x:sz val="900"/>
        <x:color rgb="FF595959"/>
        <x:rFont val="Noto Sans CJK SC"/>
        <x:family val="2"/>
      </x:rPr>
      <x:t xml:space="preserve">※ 僅列有</x:t>
    </x:r>
    <x:r>
      <x:rPr>
        <x:sz val="900"/>
        <x:color rgb="FF595959"/>
        <x:rFont val="Arial"/>
        <x:family val="2"/>
      </x:rPr>
      <x:t xml:space="preserve">A</x:t>
    </x:r>
    <x:r>
      <x:rPr>
        <x:sz val="900"/>
        <x:color rgb="FF595959"/>
        <x:rFont val="Noto Sans CJK SC"/>
        <x:family val="2"/>
      </x:rPr>
      <x:t xml:space="preserve">級場站之</x:t>
    </x:r>
    <x:r>
      <x:rPr>
        <x:sz val="900"/>
        <x:color rgb="FF595959"/>
        <x:rFont val="Arial"/>
        <x:family val="2"/>
      </x:rPr>
      <x:t xml:space="preserve">22</x:t>
    </x:r>
    <x:r>
      <x:rPr>
        <x:sz val="900"/>
        <x:color rgb="FF595959"/>
        <x:rFont val="Noto Sans CJK SC"/>
        <x:family val="2"/>
      </x:rPr>
      <x:t xml:space="preserve">區。車輛配置</x:t>
    </x:r>
    <x:r>
      <x:rPr>
        <x:sz val="900"/>
        <x:color rgb="FF595959"/>
        <x:rFont val="Arial"/>
        <x:family val="2"/>
      </x:rPr>
      <x:t xml:space="preserve">(3</x:t>
    </x:r>
    <x:r>
      <x:rPr>
        <x:sz val="900"/>
        <x:color rgb="FF595959"/>
        <x:rFont val="Noto Sans CJK SC"/>
        <x:family val="2"/>
      </x:rPr>
      <x:t xml:space="preserve">月→上週，全區</x:t>
    </x:r>
    <x:r>
      <x:rPr>
        <x:sz val="900"/>
        <x:color rgb="FF595959"/>
        <x:rFont val="Arial"/>
        <x:family val="2"/>
      </x:rPr>
      <x:t xml:space="preserve">)</x:t>
    </x:r>
    <x:r>
      <x:rPr>
        <x:sz val="900"/>
        <x:color rgb="FF595959"/>
        <x:rFont val="Noto Sans CJK SC"/>
        <x:family val="2"/>
      </x:rPr>
      <x:t xml:space="preserve">；全區總用量</x:t>
    </x:r>
    <x:r>
      <x:rPr>
        <x:sz val="900"/>
        <x:color rgb="FF595959"/>
        <x:rFont val="Arial"/>
        <x:family val="2"/>
      </x:rPr>
      <x:t xml:space="preserve">(</x:t>
    </x:r>
    <x:r>
      <x:rPr>
        <x:sz val="900"/>
        <x:color rgb="FF595959"/>
        <x:rFont val="Noto Sans CJK SC"/>
        <x:family val="2"/>
      </x:rPr>
      <x:t xml:space="preserve">全部場站</x:t>
    </x:r>
    <x:r>
      <x:rPr>
        <x:sz val="900"/>
        <x:color rgb="FF595959"/>
        <x:rFont val="Arial"/>
        <x:family val="2"/>
      </x:rPr>
      <x:t xml:space="preserve">)</x:t>
    </x:r>
    <x:r>
      <x:rPr>
        <x:sz val="900"/>
        <x:color rgb="FF595959"/>
        <x:rFont val="Noto Sans CJK SC"/>
        <x:family val="2"/>
      </x:rPr>
      <x:t xml:space="preserve">；</x:t>
    </x:r>
    <x:r>
      <x:rPr>
        <x:sz val="900"/>
        <x:color rgb="FF595959"/>
        <x:rFont val="Arial"/>
        <x:family val="2"/>
      </x:rPr>
      <x:t xml:space="preserve">A</x:t>
    </x:r>
    <x:r>
      <x:rPr>
        <x:sz val="900"/>
        <x:color rgb="FF595959"/>
        <x:rFont val="Noto Sans CJK SC"/>
        <x:family val="2"/>
      </x:rPr>
      <x:t xml:space="preserve">級用量與</x:t>
    </x:r>
    <x:r>
      <x:rPr>
        <x:sz val="900"/>
        <x:color rgb="FF595959"/>
        <x:rFont val="Arial"/>
        <x:family val="2"/>
      </x:rPr>
      <x:t xml:space="preserve">A</x:t>
    </x:r>
    <x:r>
      <x:rPr>
        <x:sz val="900"/>
        <x:color rgb="FF595959"/>
        <x:rFont val="Noto Sans CJK SC"/>
        <x:family val="2"/>
      </x:rPr>
      <x:t xml:space="preserve">級見車率</x:t>
    </x:r>
    <x:r>
      <x:rPr>
        <x:sz val="900"/>
        <x:color rgb="FF595959"/>
        <x:rFont val="Arial"/>
        <x:family val="2"/>
      </x:rPr>
      <x:t xml:space="preserve">(A</x:t>
    </x:r>
    <x:r>
      <x:rPr>
        <x:sz val="900"/>
        <x:color rgb="FF595959"/>
        <x:rFont val="Noto Sans CJK SC"/>
        <x:family val="2"/>
      </x:rPr>
      <x:t xml:space="preserve">級場站</x:t>
    </x:r>
    <x:r>
      <x:rPr>
        <x:sz val="900"/>
        <x:color rgb="FF595959"/>
        <x:rFont val="Arial"/>
        <x:family val="2"/>
      </x:rPr>
      <x:t xml:space="preserve">)</x:t>
    </x:r>
    <x:r>
      <x:rPr>
        <x:sz val="900"/>
        <x:color rgb="FF595959"/>
        <x:rFont val="Noto Sans CJK SC"/>
        <x:family val="2"/>
      </x:rPr>
      <x:t xml:space="preserve">。</x:t>
    </x:r>
  </x:si>
  <x:si>
    <x:r>
      <x:rPr>
        <x:sz val="900"/>
        <x:color rgb="FF595959"/>
        <x:rFont val="Arial"/>
        <x:family val="2"/>
      </x:rPr>
      <x:t xml:space="preserve">※ 3</x:t>
    </x:r>
    <x:r>
      <x:rPr>
        <x:sz val="900"/>
        <x:color rgb="FF595959"/>
        <x:rFont val="Noto Sans CJK SC"/>
        <x:family val="2"/>
      </x:rPr>
      <x:t xml:space="preserve">月＝整月平日；</x:t>
    </x:r>
    <x:r>
      <x:rPr>
        <x:sz val="900"/>
        <x:color rgb="FF595959"/>
        <x:rFont val="Arial"/>
        <x:family val="2"/>
      </x:rPr>
      <x:t xml:space="preserve">7</x:t>
    </x:r>
    <x:r>
      <x:rPr>
        <x:sz val="900"/>
        <x:color rgb="FF595959"/>
        <x:rFont val="Noto Sans CJK SC"/>
        <x:family val="2"/>
      </x:rPr>
      <x:t xml:space="preserve">月＝代表日</x:t>
    </x:r>
    <x:r>
      <x:rPr>
        <x:sz val="900"/>
        <x:color rgb="FF595959"/>
        <x:rFont val="Arial"/>
        <x:family val="2"/>
      </x:rPr>
      <x:t xml:space="preserve">(7/8,7/9,7/22–24)</x:t>
    </x:r>
    <x:r>
      <x:rPr>
        <x:sz val="900"/>
        <x:color rgb="FF595959"/>
        <x:rFont val="Noto Sans CJK SC"/>
        <x:family val="2"/>
      </x:rPr>
      <x:t xml:space="preserve">；上週為車輛數口徑。見車率為</x:t>
    </x:r>
    <x:r>
      <x:rPr>
        <x:sz val="900"/>
        <x:color rgb="FF595959"/>
        <x:rFont val="Arial"/>
        <x:family val="2"/>
      </x:rPr>
      <x:t xml:space="preserve">6–24</x:t>
    </x:r>
    <x:r>
      <x:rPr>
        <x:sz val="900"/>
        <x:color rgb="FF595959"/>
        <x:rFont val="Noto Sans CJK SC"/>
        <x:family val="2"/>
      </x:rPr>
      <x:t xml:space="preserve">時、差異為百分點</x:t>
    </x:r>
    <x:r>
      <x:rPr>
        <x:sz val="900"/>
        <x:color rgb="FF595959"/>
        <x:rFont val="Arial"/>
        <x:family val="2"/>
      </x:rPr>
      <x:t xml:space="preserve">(pp)</x:t>
    </x:r>
    <x:r>
      <x:rPr>
        <x:sz val="900"/>
        <x:color rgb="FF595959"/>
        <x:rFont val="Noto Sans CJK SC"/>
        <x:family val="2"/>
      </x:rPr>
      <x:t xml:space="preserve">。</x:t>
    </x:r>
  </x:si>
  <x:si>
    <x:r>
      <x:rPr>
        <x:sz val="900"/>
        <x:color rgb="FF595959"/>
        <x:rFont val="Noto Sans CJK SC"/>
        <x:family val="2"/>
      </x:rPr>
      <x:t xml:space="preserve">※ 總用量與</x:t>
    </x:r>
    <x:r>
      <x:rPr>
        <x:sz val="900"/>
        <x:color rgb="FF595959"/>
        <x:rFont val="Arial"/>
        <x:family val="2"/>
      </x:rPr>
      <x:t xml:space="preserve">A</x:t>
    </x:r>
    <x:r>
      <x:rPr>
        <x:sz val="900"/>
        <x:color rgb="FF595959"/>
        <x:rFont val="Noto Sans CJK SC"/>
        <x:family val="2"/>
      </x:rPr>
      <x:t xml:space="preserve">級用量並列，可看該區</x:t>
    </x:r>
    <x:r>
      <x:rPr>
        <x:sz val="900"/>
        <x:color rgb="FF595959"/>
        <x:rFont val="Arial"/>
        <x:family val="2"/>
      </x:rPr>
      <x:t xml:space="preserve">A</x:t>
    </x:r>
    <x:r>
      <x:rPr>
        <x:sz val="900"/>
        <x:color rgb="FF595959"/>
        <x:rFont val="Noto Sans CJK SC"/>
        <x:family val="2"/>
      </x:rPr>
      <x:t xml:space="preserve">級站占比與整體走勢是否一致；配置搭配總用量較</x:t>
    </x:r>
    <x:r>
      <x:rPr>
        <x:sz val="900"/>
        <x:color rgb="FF595959"/>
        <x:rFont val="Arial"/>
        <x:family val="2"/>
      </x:rPr>
      <x:t xml:space="preserve">A</x:t>
    </x:r>
    <x:r>
      <x:rPr>
        <x:sz val="900"/>
        <x:color rgb="FF595959"/>
        <x:rFont val="Noto Sans CJK SC"/>
        <x:family val="2"/>
      </x:rPr>
      <x:t xml:space="preserve">級更同口徑。</x:t>
    </x:r>
  </x:si>
  <x:si>
    <x:t xml:space="preserve">車輛配置</x:t>
  </x:si>
  <x:si>
    <x:t xml:space="preserve">全區總用量</x:t>
  </x:si>
  <x:si>
    <x:r>
      <x:rPr>
        <x:b/>
        <x:sz val="1000"/>
        <x:color rgb="FFFFFFFF"/>
        <x:rFont val="Arial"/>
        <x:family val="2"/>
      </x:rPr>
      <x:t xml:space="preserve">A</x:t>
    </x:r>
    <x:r>
      <x:rPr>
        <x:b/>
        <x:sz val="1000"/>
        <x:color rgb="FFFFFFFF"/>
        <x:rFont val="Noto Sans CJK SC"/>
        <x:family val="2"/>
      </x:rPr>
      <x:t xml:space="preserve">級用量</x:t>
    </x:r>
  </x:si>
  <x:si>
    <x:r>
      <x:rPr>
        <x:b/>
        <x:sz val="1000"/>
        <x:color rgb="FFFFFFFF"/>
        <x:rFont val="Arial"/>
        <x:family val="2"/>
      </x:rPr>
      <x:t xml:space="preserve">A</x:t>
    </x:r>
    <x:r>
      <x:rPr>
        <x:b/>
        <x:sz val="1000"/>
        <x:color rgb="FFFFFFFF"/>
        <x:rFont val="Noto Sans CJK SC"/>
        <x:family val="2"/>
      </x:rPr>
      <x:t xml:space="preserve">級見車率</x:t>
    </x:r>
    <x:r>
      <x:rPr>
        <x:b/>
        <x:sz val="1000"/>
        <x:color rgb="FFFFFFFF"/>
        <x:rFont val="Arial"/>
        <x:family val="2"/>
      </x:rPr>
      <x:t xml:space="preserve">6–24</x:t>
    </x:r>
    <x:r>
      <x:rPr>
        <x:b/>
        <x:sz val="1000"/>
        <x:color rgb="FFFFFFFF"/>
        <x:rFont val="Noto Sans CJK SC"/>
        <x:family val="2"/>
      </x:rPr>
      <x:t xml:space="preserve">時</x:t>
    </x:r>
  </x:si>
  <x:si>
    <x:r>
      <x:rPr>
        <x:b/>
        <x:sz val="900"/>
        <x:color rgb="FF000000"/>
        <x:rFont val="Arial"/>
        <x:family val="2"/>
      </x:rPr>
      <x:t xml:space="preserve">22</x:t>
    </x:r>
    <x:r>
      <x:rPr>
        <x:b/>
        <x:sz val="900"/>
        <x:color rgb="FF000000"/>
        <x:rFont val="Noto Sans CJK SC"/>
        <x:family val="2"/>
      </x:rPr>
      <x:t xml:space="preserve">區合計</x:t>
    </x:r>
    <x:r>
      <x:rPr>
        <x:b/>
        <x:sz val="900"/>
        <x:color rgb="FF000000"/>
        <x:rFont val="Arial"/>
        <x:family val="2"/>
      </x:rPr>
      <x:t xml:space="preserve">/</x:t>
    </x:r>
    <x:r>
      <x:rPr>
        <x:b/>
        <x:sz val="900"/>
        <x:color rgb="FF000000"/>
        <x:rFont val="Noto Sans CJK SC"/>
        <x:family val="2"/>
      </x:rPr>
      <x:t xml:space="preserve">平均</x:t>
    </x:r>
  </x:si>
</x:sst>
</file>

<file path=xl/styles.xml><?xml version="1.0" encoding="utf-8"?>
<x:styleSheet xmlns:x="http://schemas.openxmlformats.org/spreadsheetml/2006/main">
  <x:numFmts count="1">
    <x:numFmt numFmtId="176" formatCode="0.0%"/>
  </x:numFmts>
  <x:fonts count="25">
    <x:font>
      <x:sz val="11"/>
      <x:color theme="1"/>
      <x:name val="Calibri"/>
    </x:font>
    <x:font>
      <x:b/>
      <x:sz val="14"/>
      <x:color rgb="FFFFFFFF"/>
      <x:name val="Arial"/>
    </x:font>
    <x:font>
      <x:b/>
      <x:sz val="14"/>
      <x:color rgb="FFFFFFFF"/>
      <x:name val="Noto Sans CJK SC"/>
    </x:font>
    <x:font>
      <x:sz val="9"/>
      <x:color rgb="FF595959"/>
      <x:name val="Arial"/>
    </x:font>
    <x:font>
      <x:sz val="9"/>
      <x:color rgb="FF595959"/>
      <x:name val="Noto Sans CJK SC"/>
    </x:font>
    <x:font>
      <x:sz val="9"/>
      <x:color rgb="FF595959"/>
      <x:name val="Noto Sans CJK SC"/>
    </x:font>
    <x:font>
      <x:b/>
      <x:sz val="10"/>
      <x:color rgb="FFFFFFFF"/>
      <x:name val="Noto Sans CJK SC"/>
    </x:font>
    <x:font>
      <x:b/>
      <x:sz val="9"/>
      <x:color rgb="FF000000"/>
      <x:name val="Arial"/>
    </x:font>
    <x:font>
      <x:b/>
      <x:sz val="9"/>
      <x:color rgb="FF000000"/>
      <x:name val="Noto Sans CJK SC"/>
    </x:font>
    <x:font>
      <x:b/>
      <x:sz val="9"/>
      <x:color rgb="FF000000"/>
      <x:name val="Noto Sans CJK SC"/>
    </x:font>
    <x:font>
      <x:sz val="9"/>
      <x:color rgb="FF000000"/>
      <x:name val="Arial"/>
    </x:font>
    <x:font>
      <x:sz val="9"/>
      <x:color rgb="FF000000"/>
      <x:name val="Noto Sans CJK SC"/>
    </x:font>
    <x:font>
      <x:sz val="11"/>
      <x:color theme="1"/>
      <x:name val="Noto Sans CJK SC"/>
    </x:font>
    <x:font>
      <x:sz val="9"/>
      <x:color rgb="FF595959"/>
      <x:name val="Arial"/>
    </x:font>
    <x:font>
      <x:b/>
      <x:sz val="10"/>
      <x:color rgb="FFFFFFFF"/>
      <x:name val="Noto Sans CJK SC"/>
    </x:font>
    <x:font>
      <x:b/>
      <x:sz val="10"/>
      <x:color rgb="FFFFFFFF"/>
      <x:name val="Arial"/>
    </x:font>
    <x:font>
      <x:b/>
      <x:sz val="9"/>
      <x:color rgb="FF000000"/>
      <x:name val="Arial"/>
    </x:font>
    <x:font>
      <x:sz val="10"/>
      <x:color rgb="FF000000"/>
      <x:name val="Noto Sans CJK SC"/>
    </x:font>
    <x:font>
      <x:sz val="10"/>
      <x:color rgb="FF000000"/>
      <x:name val="Arial"/>
    </x:font>
    <x:font>
      <x:b/>
      <x:sz val="10"/>
      <x:color rgb="FF000000"/>
      <x:name val="Noto Sans CJK SC"/>
    </x:font>
    <x:font>
      <x:b/>
      <x:sz val="10"/>
      <x:color rgb="FF000000"/>
      <x:name val="Arial"/>
    </x:font>
    <x:font>
      <x:sz val="9"/>
      <x:color rgb="FF000000"/>
      <x:name val="Noto Sans CJK SC"/>
    </x:font>
    <x:font>
      <x:sz val="9"/>
      <x:color rgb="FF000000"/>
      <x:name val="Arial"/>
    </x:font>
    <x:font>
      <x:b/>
      <x:sz val="14"/>
      <x:color rgb="FFFFFFFF"/>
      <x:name val="Arial"/>
    </x:font>
    <x:font>
      <x:sz val="9"/>
      <x:name val="細明體"/>
    </x:font>
  </x:fonts>
  <x:fills count="16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E5496"/>
      </x:patternFill>
    </x:fill>
    <x:fill>
      <x:patternFill patternType="solid">
        <x:fgColor rgb="FF1F7A4D"/>
      </x:patternFill>
    </x:fill>
    <x:fill>
      <x:patternFill patternType="solid">
        <x:fgColor rgb="FF2E8B57"/>
      </x:patternFill>
    </x:fill>
    <x:fill>
      <x:patternFill patternType="solid">
        <x:fgColor rgb="FF3CA06A"/>
      </x:patternFill>
    </x:fill>
    <x:fill>
      <x:patternFill patternType="solid">
        <x:fgColor rgb="FFD6E0F0"/>
      </x:patternFill>
    </x:fill>
    <x:fill>
      <x:patternFill patternType="solid">
        <x:fgColor rgb="FFD6EBDD"/>
      </x:patternFill>
    </x:fill>
    <x:fill>
      <x:patternFill patternType="solid">
        <x:fgColor rgb="FFF5F7FA"/>
      </x:patternFill>
    </x:fill>
    <x:fill>
      <x:patternFill patternType="solid">
        <x:fgColor rgb="FFC9D6EC"/>
      </x:patternFill>
    </x:fill>
    <x:fill>
      <x:patternFill patternType="solid">
        <x:fgColor rgb="FFE3EAF6"/>
      </x:patternFill>
    </x:fill>
    <x:fill>
      <x:patternFill patternType="solid">
        <x:fgColor rgb="FF7A4D1F"/>
      </x:patternFill>
    </x:fill>
    <x:fill>
      <x:patternFill patternType="solid">
        <x:fgColor rgb="FFB7791F"/>
      </x:patternFill>
    </x:fill>
    <x:fill>
      <x:patternFill patternType="solid">
        <x:fgColor rgb="FFEFE3D6"/>
      </x:patternFill>
    </x:fill>
    <x:fill>
      <x:patternFill patternType="solid">
        <x:fgColor rgb="FFFAEFD9"/>
      </x:patternFill>
    </x:fill>
  </x:fills>
  <x:borders count="4">
    <x:border/>
    <x:border>
      <x:left style="thin">
        <x:color rgb="FFC4C4C4"/>
      </x:left>
      <x:right style="thin">
        <x:color rgb="FFC4C4C4"/>
      </x:right>
      <x:top style="thin">
        <x:color rgb="FFC4C4C4"/>
      </x:top>
    </x:border>
    <x:border>
      <x:left style="thin">
        <x:color rgb="FFC4C4C4"/>
      </x:left>
      <x:top style="thin">
        <x:color rgb="FFC4C4C4"/>
      </x:top>
      <x:bottom style="thin">
        <x:color rgb="FFC4C4C4"/>
      </x:bottom>
    </x:border>
    <x:border>
      <x:left style="thin">
        <x:color rgb="FFC4C4C4"/>
      </x:left>
      <x:right style="thin">
        <x:color rgb="FFC4C4C4"/>
      </x:right>
      <x:top style="thin">
        <x:color rgb="FFC4C4C4"/>
      </x:top>
      <x:bottom style="thin">
        <x:color rgb="FFC4C4C4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14" fillId="2" borderId="1" xfId="0" applyFont="1" applyFill="1" applyBorder="1" applyAlignment="1">
      <x:alignment horizontal="center" vertical="center" wrapText="1"/>
    </x:xf>
    <x:xf numFmtId="0" fontId="13" fillId="0" borderId="0" xfId="0" applyFont="1" applyAlignment="1">
      <x:alignment horizontal="left" vertical="center"/>
    </x:xf>
    <x:xf numFmtId="0" fontId="4" fillId="0" borderId="0" xfId="0" applyFont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9" fillId="11" borderId="3" xfId="0" applyFont="1" applyFill="1" applyBorder="1" applyAlignment="1">
      <x:alignment horizontal="right" vertical="center"/>
    </x:xf>
    <x:xf numFmtId="0" fontId="7" fillId="10" borderId="3" xfId="0" applyFont="1" applyFill="1" applyBorder="1" applyAlignment="1">
      <x:alignment horizontal="right" vertical="center"/>
    </x:xf>
    <x:xf numFmtId="0" fontId="6" fillId="6" borderId="2" xfId="0" applyFont="1" applyFill="1" applyBorder="1" applyAlignment="1">
      <x:alignment horizontal="center" vertical="center"/>
    </x:xf>
    <x:xf numFmtId="0" fontId="6" fillId="5" borderId="2" xfId="0" applyFont="1" applyFill="1" applyBorder="1" applyAlignment="1">
      <x:alignment horizontal="center" vertical="center"/>
    </x:xf>
    <x:xf numFmtId="0" fontId="6" fillId="4" borderId="2" xfId="0" applyFont="1" applyFill="1" applyBorder="1" applyAlignment="1">
      <x:alignment horizontal="center" vertical="center"/>
    </x:xf>
    <x:xf numFmtId="0" fontId="6" fillId="3" borderId="2" xfId="0" applyFont="1" applyFill="1" applyBorder="1" applyAlignment="1">
      <x:alignment horizontal="center" vertical="center"/>
    </x:xf>
    <x:xf numFmtId="0" fontId="6" fillId="2" borderId="1" xfId="0" applyFont="1" applyFill="1" applyBorder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1" fillId="2" borderId="0" xfId="0" applyFont="1" applyFill="1" applyAlignment="1">
      <x:alignment horizontal="left" vertical="center"/>
    </x:xf>
    <x:xf numFmtId="0" fontId="7" fillId="7" borderId="3" xfId="0" applyFont="1" applyFill="1" applyBorder="1" applyAlignment="1">
      <x:alignment horizontal="center" vertical="center"/>
    </x:xf>
    <x:xf numFmtId="0" fontId="9" fillId="7" borderId="3" xfId="0" applyFont="1" applyFill="1" applyBorder="1" applyAlignment="1">
      <x:alignment horizontal="center" vertical="center"/>
    </x:xf>
    <x:xf numFmtId="0" fontId="7" fillId="8" borderId="3" xfId="0" applyFont="1" applyFill="1" applyBorder="1" applyAlignment="1">
      <x:alignment horizontal="center" vertical="center"/>
    </x:xf>
    <x:xf numFmtId="0" fontId="9" fillId="8" borderId="3" xfId="0" applyFont="1" applyFill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1" fillId="0" borderId="3" xfId="0" applyFont="1" applyBorder="1" applyAlignment="1">
      <x:alignment horizontal="center" vertical="center"/>
    </x:xf>
    <x:xf numFmtId="0" fontId="11" fillId="0" borderId="3" xfId="0" applyFont="1" applyBorder="1"/>
    <x:xf numFmtId="3" fontId="10" fillId="0" borderId="3" xfId="0" applyNumberFormat="1" applyFont="1" applyBorder="1"/>
    <x:xf numFmtId="176" fontId="10" fillId="0" borderId="3" xfId="0" applyNumberFormat="1" applyFont="1" applyBorder="1"/>
    <x:xf numFmtId="0" fontId="10" fillId="9" borderId="3" xfId="0" applyFont="1" applyFill="1" applyBorder="1" applyAlignment="1">
      <x:alignment horizontal="center" vertical="center"/>
    </x:xf>
    <x:xf numFmtId="0" fontId="11" fillId="9" borderId="3" xfId="0" applyFont="1" applyFill="1" applyBorder="1" applyAlignment="1">
      <x:alignment horizontal="center" vertical="center"/>
    </x:xf>
    <x:xf numFmtId="0" fontId="11" fillId="9" borderId="3" xfId="0" applyFont="1" applyFill="1" applyBorder="1"/>
    <x:xf numFmtId="3" fontId="10" fillId="9" borderId="3" xfId="0" applyNumberFormat="1" applyFont="1" applyFill="1" applyBorder="1"/>
    <x:xf numFmtId="176" fontId="10" fillId="9" borderId="3" xfId="0" applyNumberFormat="1" applyFont="1" applyFill="1" applyBorder="1"/>
    <x:xf numFmtId="3" fontId="7" fillId="10" borderId="3" xfId="0" applyNumberFormat="1" applyFont="1" applyFill="1" applyBorder="1"/>
    <x:xf numFmtId="176" fontId="7" fillId="10" borderId="3" xfId="0" applyNumberFormat="1" applyFont="1" applyFill="1" applyBorder="1"/>
    <x:xf numFmtId="0" fontId="7" fillId="11" borderId="3" xfId="0" applyFont="1" applyFill="1" applyBorder="1" applyAlignment="1">
      <x:alignment horizontal="center" vertical="center"/>
    </x:xf>
    <x:xf numFmtId="3" fontId="7" fillId="11" borderId="3" xfId="0" applyNumberFormat="1" applyFont="1" applyFill="1" applyBorder="1"/>
    <x:xf numFmtId="176" fontId="7" fillId="11" borderId="3" xfId="0" applyNumberFormat="1" applyFont="1" applyFill="1" applyBorder="1"/>
    <x:xf numFmtId="0" fontId="7" fillId="10" borderId="3" xfId="0" applyFont="1" applyFill="1" applyBorder="1" applyAlignment="1">
      <x:alignment horizontal="center" vertical="center"/>
    </x:xf>
    <x:xf numFmtId="0" fontId="12" fillId="0" borderId="0" xfId="0" applyFont="1"/>
    <x:xf numFmtId="0" fontId="0" fillId="0" borderId="0" xfId="0" applyAlignment="1">
      <x:alignment wrapText="1"/>
    </x:xf>
    <x:xf numFmtId="0" fontId="12" fillId="0" borderId="0" xfId="0" applyFont="1" applyAlignment="1">
      <x:alignment wrapText="1"/>
    </x:xf>
    <x:xf numFmtId="3" fontId="0" fillId="0" borderId="0" xfId="0" applyNumberFormat="1"/>
    <x:xf numFmtId="0" fontId="16" fillId="14" borderId="3" xfId="0" applyFont="1" applyFill="1" applyBorder="1" applyAlignment="1">
      <x:alignment horizontal="center" vertical="center" wrapText="1"/>
    </x:xf>
    <x:xf numFmtId="0" fontId="8" fillId="14" borderId="3" xfId="0" applyFont="1" applyFill="1" applyBorder="1" applyAlignment="1">
      <x:alignment horizontal="center" vertical="center" wrapText="1"/>
    </x:xf>
    <x:xf numFmtId="0" fontId="16" fillId="15" borderId="3" xfId="0" applyFont="1" applyFill="1" applyBorder="1" applyAlignment="1">
      <x:alignment horizontal="center" vertical="center" wrapText="1"/>
    </x:xf>
    <x:xf numFmtId="0" fontId="8" fillId="15" borderId="3" xfId="0" applyFont="1" applyFill="1" applyBorder="1" applyAlignment="1">
      <x:alignment horizontal="center" vertical="center" wrapText="1"/>
    </x:xf>
    <x:xf numFmtId="0" fontId="17" fillId="0" borderId="3" xfId="0" applyFont="1" applyBorder="1" applyAlignment="1">
      <x:alignment horizontal="center" vertical="center"/>
    </x:xf>
    <x:xf numFmtId="0" fontId="17" fillId="0" borderId="3" xfId="0" applyFont="1" applyBorder="1" applyAlignment="1">
      <x:alignment horizontal="left" vertical="center"/>
    </x:xf>
    <x:xf numFmtId="3" fontId="18" fillId="0" borderId="3" xfId="0" applyNumberFormat="1" applyFont="1" applyBorder="1" applyAlignment="1">
      <x:alignment horizontal="center" vertical="center"/>
    </x:xf>
    <x:xf numFmtId="176" fontId="18" fillId="0" borderId="3" xfId="0" applyNumberFormat="1" applyFont="1" applyBorder="1" applyAlignment="1">
      <x:alignment horizontal="center" vertical="center"/>
    </x:xf>
    <x:xf numFmtId="0" fontId="17" fillId="9" borderId="3" xfId="0" applyFont="1" applyFill="1" applyBorder="1" applyAlignment="1">
      <x:alignment horizontal="center" vertical="center"/>
    </x:xf>
    <x:xf numFmtId="0" fontId="17" fillId="9" borderId="3" xfId="0" applyFont="1" applyFill="1" applyBorder="1" applyAlignment="1">
      <x:alignment horizontal="left" vertical="center"/>
    </x:xf>
    <x:xf numFmtId="3" fontId="18" fillId="9" borderId="3" xfId="0" applyNumberFormat="1" applyFont="1" applyFill="1" applyBorder="1" applyAlignment="1">
      <x:alignment horizontal="center" vertical="center"/>
    </x:xf>
    <x:xf numFmtId="176" fontId="18" fillId="9" borderId="3" xfId="0" applyNumberFormat="1" applyFont="1" applyFill="1" applyBorder="1" applyAlignment="1">
      <x:alignment horizontal="center" vertical="center"/>
    </x:xf>
    <x:xf numFmtId="3" fontId="20" fillId="11" borderId="3" xfId="0" applyNumberFormat="1" applyFont="1" applyFill="1" applyBorder="1" applyAlignment="1">
      <x:alignment horizontal="center" vertical="center"/>
    </x:xf>
    <x:xf numFmtId="176" fontId="20" fillId="11" borderId="3" xfId="0" applyNumberFormat="1" applyFont="1" applyFill="1" applyBorder="1" applyAlignment="1">
      <x:alignment horizontal="center" vertical="center"/>
    </x:xf>
    <x:xf numFmtId="3" fontId="20" fillId="10" borderId="3" xfId="0" applyNumberFormat="1" applyFont="1" applyFill="1" applyBorder="1" applyAlignment="1">
      <x:alignment horizontal="center" vertical="center"/>
    </x:xf>
    <x:xf numFmtId="176" fontId="20" fillId="10" borderId="3" xfId="0" applyNumberFormat="1" applyFont="1" applyFill="1" applyBorder="1" applyAlignment="1">
      <x:alignment horizontal="center" vertical="center"/>
    </x:xf>
    <x:xf numFmtId="0" fontId="16" fillId="7" borderId="3" xfId="0" applyFont="1" applyFill="1" applyBorder="1" applyAlignment="1">
      <x:alignment horizontal="center" vertical="center" wrapText="1"/>
    </x:xf>
    <x:xf numFmtId="0" fontId="8" fillId="7" borderId="3" xfId="0" applyFont="1" applyFill="1" applyBorder="1" applyAlignment="1">
      <x:alignment horizontal="center" vertical="center" wrapText="1"/>
    </x:xf>
    <x:xf numFmtId="0" fontId="16" fillId="8" borderId="3" xfId="0" applyFont="1" applyFill="1" applyBorder="1" applyAlignment="1">
      <x:alignment horizontal="center" vertical="center" wrapText="1"/>
    </x:xf>
    <x:xf numFmtId="0" fontId="8" fillId="8" borderId="3" xfId="0" applyFont="1" applyFill="1" applyBorder="1" applyAlignment="1">
      <x:alignment horizontal="center" vertical="center" wrapText="1"/>
    </x:xf>
    <x:xf numFmtId="0" fontId="21" fillId="0" borderId="3" xfId="0" applyFont="1" applyBorder="1" applyAlignment="1">
      <x:alignment horizontal="center" vertical="center"/>
    </x:xf>
    <x:xf numFmtId="0" fontId="21" fillId="0" borderId="3" xfId="0" applyFont="1" applyBorder="1"/>
    <x:xf numFmtId="3" fontId="22" fillId="0" borderId="3" xfId="0" applyNumberFormat="1" applyFont="1" applyBorder="1"/>
    <x:xf numFmtId="176" fontId="22" fillId="0" borderId="3" xfId="0" applyNumberFormat="1" applyFont="1" applyBorder="1"/>
    <x:xf numFmtId="0" fontId="21" fillId="9" borderId="3" xfId="0" applyFont="1" applyFill="1" applyBorder="1" applyAlignment="1">
      <x:alignment horizontal="center" vertical="center"/>
    </x:xf>
    <x:xf numFmtId="0" fontId="21" fillId="9" borderId="3" xfId="0" applyFont="1" applyFill="1" applyBorder="1"/>
    <x:xf numFmtId="3" fontId="22" fillId="9" borderId="3" xfId="0" applyNumberFormat="1" applyFont="1" applyFill="1" applyBorder="1"/>
    <x:xf numFmtId="176" fontId="22" fillId="9" borderId="3" xfId="0" applyNumberFormat="1" applyFont="1" applyFill="1" applyBorder="1"/>
    <x:xf numFmtId="3" fontId="16" fillId="10" borderId="3" xfId="0" applyNumberFormat="1" applyFont="1" applyFill="1" applyBorder="1"/>
    <x:xf numFmtId="176" fontId="16" fillId="10" borderId="3" xfId="0" applyNumberFormat="1" applyFont="1" applyFill="1" applyBorder="1"/>
    <x:xf numFmtId="0" fontId="14" fillId="12" borderId="2" xfId="0" applyFont="1" applyFill="1" applyBorder="1" applyAlignment="1">
      <x:alignment horizontal="center" vertical="center" wrapText="1"/>
    </x:xf>
    <x:xf numFmtId="0" fontId="14" fillId="13" borderId="2" xfId="0" applyFont="1" applyFill="1" applyBorder="1" applyAlignment="1">
      <x:alignment horizontal="center" vertical="center" wrapText="1"/>
    </x:xf>
    <x:xf numFmtId="0" fontId="19" fillId="11" borderId="3" xfId="0" applyFont="1" applyFill="1" applyBorder="1" applyAlignment="1">
      <x:alignment horizontal="right" vertical="center"/>
    </x:xf>
    <x:xf numFmtId="0" fontId="19" fillId="10" borderId="3" xfId="0" applyFont="1" applyFill="1" applyBorder="1" applyAlignment="1">
      <x:alignment horizontal="right" vertical="center"/>
    </x:xf>
    <x:xf numFmtId="0" fontId="15" fillId="3" borderId="2" xfId="0" applyFont="1" applyFill="1" applyBorder="1" applyAlignment="1">
      <x:alignment horizontal="center" vertical="center" wrapText="1"/>
    </x:xf>
    <x:xf numFmtId="0" fontId="15" fillId="4" borderId="2" xfId="0" applyFont="1" applyFill="1" applyBorder="1" applyAlignment="1">
      <x:alignment horizontal="center" vertical="center" wrapText="1"/>
    </x:xf>
    <x:xf numFmtId="0" fontId="16" fillId="10" borderId="3" xfId="0" applyFont="1" applyFill="1" applyBorder="1" applyAlignment="1">
      <x:alignment horizontal="right" vertical="center"/>
    </x:xf>
  </x:cellXfs>
  <x:cellStyles count="1">
    <x:cellStyle name="一般" xfId="0"/>
  </x:cellStyles>
  <x:dxfs count="6"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B7791F"/>
      <x:rgbColor rgb="FF800080"/>
      <x:rgbColor rgb="FF1F7A4D"/>
      <x:rgbColor rgb="FFC4C4C4"/>
      <x:rgbColor rgb="FF808080"/>
      <x:rgbColor rgb="FF9999FF"/>
      <x:rgbColor rgb="FF993366"/>
      <x:rgbColor rgb="FFFAEFD9"/>
      <x:rgbColor rgb="FFE3EAF6"/>
      <x:rgbColor rgb="FF660066"/>
      <x:rgbColor rgb="FFFF8080"/>
      <x:rgbColor rgb="FF0066CC"/>
      <x:rgbColor rgb="FFC9D6EC"/>
      <x:rgbColor rgb="FF000080"/>
      <x:rgbColor rgb="FFFF00FF"/>
      <x:rgbColor rgb="FFFFFF00"/>
      <x:rgbColor rgb="FF00FFFF"/>
      <x:rgbColor rgb="FF800080"/>
      <x:rgbColor rgb="FF800000"/>
      <x:rgbColor rgb="FF2E8B57"/>
      <x:rgbColor rgb="FF0000FF"/>
      <x:rgbColor rgb="FF00CCFF"/>
      <x:rgbColor rgb="FFF5F7FA"/>
      <x:rgbColor rgb="FFD6EBDD"/>
      <x:rgbColor rgb="FFFFFF99"/>
      <x:rgbColor rgb="FFD6E0F0"/>
      <x:rgbColor rgb="FFFF99CC"/>
      <x:rgbColor rgb="FFCC99FF"/>
      <x:rgbColor rgb="FFEFE3D6"/>
      <x:rgbColor rgb="FF3366FF"/>
      <x:rgbColor rgb="FF33CCCC"/>
      <x:rgbColor rgb="FF99CC00"/>
      <x:rgbColor rgb="FFFFCC00"/>
      <x:rgbColor rgb="FFFF9900"/>
      <x:rgbColor rgb="FFFF6600"/>
      <x:rgbColor rgb="FF595959"/>
      <x:rgbColor rgb="FF969696"/>
      <x:rgbColor rgb="FF1F3864"/>
      <x:rgbColor rgb="FF3CA06A"/>
      <x:rgbColor rgb="FF003300"/>
      <x:rgbColor rgb="FF333300"/>
      <x:rgbColor rgb="FF7A4D1F"/>
      <x:rgbColor rgb="FF993366"/>
      <x:rgbColor rgb="FF2E5496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587a693c194f6e" /><Relationship Type="http://schemas.openxmlformats.org/officeDocument/2006/relationships/theme" Target="/xl/theme/theme1.xml" Id="R785cb91a918148e0" /><Relationship Type="http://schemas.openxmlformats.org/officeDocument/2006/relationships/sharedStrings" Target="/xl/sharedStrings.xml" Id="R4b3afc417f744658" /><Relationship Type="http://schemas.openxmlformats.org/officeDocument/2006/relationships/worksheet" Target="/xl/worksheets/sheet1.xml" Id="R6e914798b9764a07" /><Relationship Type="http://schemas.openxmlformats.org/officeDocument/2006/relationships/worksheet" Target="/xl/worksheets/sheet2.xml" Id="Re17cdf6ca98045e7" /><Relationship Type="http://schemas.openxmlformats.org/officeDocument/2006/relationships/worksheet" Target="/xl/worksheets/sheet3.xml" Id="R056d86f91ee44c7f" /><Relationship Type="http://schemas.openxmlformats.org/officeDocument/2006/relationships/worksheet" Target="/xl/worksheets/sheet4.xml" Id="Rfc876e06463148ad" /><Relationship Type="http://schemas.openxmlformats.org/officeDocument/2006/relationships/worksheet" Target="/xl/worksheets/sheet5.xml" Id="Rde97b1ee3c0c428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328125" defaultRowHeight="14.5"/>
  <x:cols>
    <x:col min="1" max="1" width="5" customWidth="1"/>
    <x:col min="2" max="2" width="7" customWidth="1"/>
    <x:col min="3" max="3" width="9" customWidth="1"/>
    <x:col min="4" max="4" width="30" customWidth="1"/>
    <x:col min="5" max="17" width="8.453125" customWidth="1"/>
  </x:cols>
  <x:sheetData>
    <x:row r="1" ht="25.5" customHeight="1">
      <x:c r="A1" s="14" t="s">
        <x:v>0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</x:row>
    <x:row r="2" ht="15" customHeight="1">
      <x:c r="A2" s="13" t="s">
        <x:v>1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</x:row>
    <x:row r="3" ht="15" customHeight="1">
      <x:c r="A3" s="13" t="s">
        <x:v>2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</x:row>
    <x:row r="4" ht="15" customHeight="1">
      <x:c r="A4" s="12" t="s">
        <x:v>3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</x:row>
    <x:row r="5" ht="15" customHeight="1">
      <x:c r="A5" s="12" t="s">
        <x:v>4</x:v>
      </x:c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</x:row>
    <x:row r="6" ht="15" customHeight="1">
      <x:c r="A6" s="12" t="s">
        <x:v>5</x:v>
      </x:c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</x:row>
    <x:row r="7" ht="18" customHeight="1">
      <x:c r="A7" s="11" t="s">
        <x:v>6</x:v>
      </x:c>
      <x:c r="B7" s="11" t="s">
        <x:v>7</x:v>
      </x:c>
      <x:c r="C7" s="11" t="s">
        <x:v>8</x:v>
      </x:c>
      <x:c r="D7" s="11" t="s">
        <x:v>9</x:v>
      </x:c>
      <x:c r="E7" s="10" t="s">
        <x:v>10</x:v>
      </x:c>
      <x:c r="F7" s="10"/>
      <x:c r="G7" s="10"/>
      <x:c r="H7" s="10"/>
      <x:c r="I7" s="9" t="s">
        <x:v>11</x:v>
      </x:c>
      <x:c r="J7" s="9"/>
      <x:c r="K7" s="9"/>
      <x:c r="L7" s="8" t="s">
        <x:v>12</x:v>
      </x:c>
      <x:c r="M7" s="8"/>
      <x:c r="N7" s="8"/>
      <x:c r="O7" s="7" t="s">
        <x:v>13</x:v>
      </x:c>
      <x:c r="P7" s="7"/>
      <x:c r="Q7" s="7"/>
    </x:row>
    <x:row r="8" ht="15" customHeight="1">
      <x:c r="A8" s="11"/>
      <x:c r="B8" s="11"/>
      <x:c r="C8" s="11"/>
      <x:c r="D8" s="11"/>
      <x:c r="E8" s="15" t="s">
        <x:v>14</x:v>
      </x:c>
      <x:c r="F8" s="15" t="s">
        <x:v>15</x:v>
      </x:c>
      <x:c r="G8" s="16" t="s">
        <x:v>16</x:v>
      </x:c>
      <x:c r="H8" s="16" t="s">
        <x:v>17</x:v>
      </x:c>
      <x:c r="I8" s="17" t="s">
        <x:v>14</x:v>
      </x:c>
      <x:c r="J8" s="17" t="s">
        <x:v>15</x:v>
      </x:c>
      <x:c r="K8" s="18" t="s">
        <x:v>16</x:v>
      </x:c>
      <x:c r="L8" s="17" t="s">
        <x:v>14</x:v>
      </x:c>
      <x:c r="M8" s="17" t="s">
        <x:v>15</x:v>
      </x:c>
      <x:c r="N8" s="18" t="s">
        <x:v>16</x:v>
      </x:c>
      <x:c r="O8" s="17" t="s">
        <x:v>14</x:v>
      </x:c>
      <x:c r="P8" s="17" t="s">
        <x:v>15</x:v>
      </x:c>
      <x:c r="Q8" s="18" t="s">
        <x:v>16</x:v>
      </x:c>
    </x:row>
    <x:row r="9">
      <x:c r="A9" s="19" t="n">
        <x:v>1</x:v>
      </x:c>
      <x:c r="B9" s="20" t="str">
        <x:v>台北市</x:v>
      </x:c>
      <x:c r="C9" s="20" t="str">
        <x:v>萬華區</x:v>
      </x:c>
      <x:c r="D9" s="21" t="str">
        <x:v>萬華51號公園</x:v>
      </x:c>
      <x:c r="E9" s="22" t="n">
        <x:v>231.3</x:v>
      </x:c>
      <x:c r="F9" s="22" t="n">
        <x:v>405.2</x:v>
      </x:c>
      <x:c r="G9" s="22" t="n">
        <x:f t="shared" ref="G9:G40" si="0">IF(OR(E9="",F9=""),"",F9-E9)</x:f>
        <x:v>173.89999999999998</x:v>
      </x:c>
      <x:c r="H9" s="23" t="n">
        <x:f t="shared" ref="H9:H40" si="1">IF(OR(E9="",F9="",E9=0),"",(F9-E9)/E9)</x:f>
        <x:v>0.7518374405533937</x:v>
      </x:c>
      <x:c r="I9" s="23" t="n">
        <x:v>0.793854292929293</x:v>
      </x:c>
      <x:c r="J9" s="23" t="n">
        <x:v>0.861295555555556</x:v>
      </x:c>
      <x:c r="K9" s="23" t="n">
        <x:f t="shared" ref="K9:K40" si="2">IF(OR(I9="",J9=""),"",J9-I9)</x:f>
        <x:v>0.06744126262626304</x:v>
      </x:c>
      <x:c r="L9" s="23" t="n">
        <x:v>0.987877272727273</x:v>
      </x:c>
      <x:c r="M9" s="23" t="n">
        <x:v>0.985553333333333</x:v>
      </x:c>
      <x:c r="N9" s="23" t="n">
        <x:f t="shared" ref="N9:N40" si="3">IF(OR(L9="",M9=""),"",M9-L9)</x:f>
        <x:v>-0.0023239393939400443</x:v>
      </x:c>
      <x:c r="O9" s="23" t="n">
        <x:v>0.643934848484849</x:v>
      </x:c>
      <x:c r="P9" s="23" t="n">
        <x:v>0.829993333333333</x:v>
      </x:c>
      <x:c r="Q9" s="23" t="n">
        <x:f t="shared" ref="Q9:Q40" si="4">IF(OR(O9="",P9=""),"",P9-O9)</x:f>
        <x:v>0.18605848484848397</x:v>
      </x:c>
    </x:row>
    <x:row r="10">
      <x:c r="A10" s="24" t="n">
        <x:v>2</x:v>
      </x:c>
      <x:c r="B10" s="25" t="str">
        <x:v>台北市</x:v>
      </x:c>
      <x:c r="C10" s="25" t="str">
        <x:v>信義區</x:v>
      </x:c>
      <x:c r="D10" s="26" t="str">
        <x:v>捷運台北101/世貿站(2號出口)</x:v>
      </x:c>
      <x:c r="E10" s="27" t="n">
        <x:v>577.5</x:v>
      </x:c>
      <x:c r="F10" s="27" t="n">
        <x:v>749.8</x:v>
      </x:c>
      <x:c r="G10" s="27" t="n">
        <x:f t="shared" si="0"/>
        <x:v>172.29999999999995</x:v>
      </x:c>
      <x:c r="H10" s="28" t="n">
        <x:f t="shared" si="1"/>
        <x:v>0.29835497835497826</x:v>
      </x:c>
      <x:c r="I10" s="28" t="n">
        <x:v>0.870917929292929</x:v>
      </x:c>
      <x:c r="J10" s="28" t="n">
        <x:v>0.909631111111111</x:v>
      </x:c>
      <x:c r="K10" s="28" t="n">
        <x:f t="shared" si="2"/>
        <x:v>0.03871318181818195</x:v>
      </x:c>
      <x:c r="L10" s="28" t="n">
        <x:v>0.995960606060606</x:v>
      </x:c>
      <x:c r="M10" s="28" t="n">
        <x:v>1</x:v>
      </x:c>
      <x:c r="N10" s="28" t="n">
        <x:f t="shared" si="3"/>
        <x:v>0.004039393939394009</x:v>
      </x:c>
      <x:c r="O10" s="28" t="n">
        <x:v>0.890401515151515</x:v>
      </x:c>
      <x:c r="P10" s="28" t="n">
        <x:v>0.881113333333333</x:v>
      </x:c>
      <x:c r="Q10" s="28" t="n">
        <x:f t="shared" si="4"/>
        <x:v>-0.009288181818182029</x:v>
      </x:c>
    </x:row>
    <x:row r="11">
      <x:c r="A11" s="19" t="n">
        <x:v>3</x:v>
      </x:c>
      <x:c r="B11" s="20" t="str">
        <x:v>台北市</x:v>
      </x:c>
      <x:c r="C11" s="20" t="str">
        <x:v>萬華區</x:v>
      </x:c>
      <x:c r="D11" s="21" t="str">
        <x:v>萬華區公所(大理街)</x:v>
      </x:c>
      <x:c r="E11" s="22" t="n">
        <x:v>371</x:v>
      </x:c>
      <x:c r="F11" s="22" t="n">
        <x:v>539.8</x:v>
      </x:c>
      <x:c r="G11" s="22" t="n">
        <x:f t="shared" si="0"/>
        <x:v>168.79999999999995</x:v>
      </x:c>
      <x:c r="H11" s="23" t="n">
        <x:f t="shared" si="1"/>
        <x:v>0.4549865229110511</x:v>
      </x:c>
      <x:c r="I11" s="23" t="n">
        <x:v>0.815150757575757</x:v>
      </x:c>
      <x:c r="J11" s="23" t="n">
        <x:v>0.82185</x:v>
      </x:c>
      <x:c r="K11" s="23" t="n">
        <x:f t="shared" si="2"/>
        <x:v>0.006699242424243024</x:v>
      </x:c>
      <x:c r="L11" s="23" t="n">
        <x:v>0.99974696969697</x:v>
      </x:c>
      <x:c r="M11" s="23" t="n">
        <x:v>0.984446666666667</x:v>
      </x:c>
      <x:c r="N11" s="23" t="n">
        <x:f t="shared" si="3"/>
        <x:v>-0.015300303030302942</x:v>
      </x:c>
      <x:c r="O11" s="23" t="n">
        <x:v>0.697725757575758</x:v>
      </x:c>
      <x:c r="P11" s="23" t="n">
        <x:v>0.709986666666667</x:v>
      </x:c>
      <x:c r="Q11" s="23" t="n">
        <x:f t="shared" si="4"/>
        <x:v>0.012260909090908934</x:v>
      </x:c>
    </x:row>
    <x:row r="12">
      <x:c r="A12" s="24" t="n">
        <x:v>4</x:v>
      </x:c>
      <x:c r="B12" s="25" t="str">
        <x:v>台北市</x:v>
      </x:c>
      <x:c r="C12" s="25" t="str">
        <x:v>文山區</x:v>
      </x:c>
      <x:c r="D12" s="26" t="str">
        <x:v>捷運萬隆站(2號出口)</x:v>
      </x:c>
      <x:c r="E12" s="27" t="n">
        <x:v>333</x:v>
      </x:c>
      <x:c r="F12" s="27" t="n">
        <x:v>464.6</x:v>
      </x:c>
      <x:c r="G12" s="27" t="n">
        <x:f t="shared" si="0"/>
        <x:v>131.60000000000002</x:v>
      </x:c>
      <x:c r="H12" s="28" t="n">
        <x:f t="shared" si="1"/>
        <x:v>0.39519519519519525</x:v>
      </x:c>
      <x:c r="I12" s="28" t="n">
        <x:v>0.856608585858586</x:v>
      </x:c>
      <x:c r="J12" s="28" t="n">
        <x:v>0.920184444444445</x:v>
      </x:c>
      <x:c r="K12" s="28" t="n">
        <x:f t="shared" si="2"/>
        <x:v>0.06357585858585901</x:v>
      </x:c>
      <x:c r="L12" s="28" t="n">
        <x:v>0.998484848484848</x:v>
      </x:c>
      <x:c r="M12" s="28" t="n">
        <x:v>0.97888</x:v>
      </x:c>
      <x:c r="N12" s="28" t="n">
        <x:f t="shared" si="3"/>
        <x:v>-0.019604848484848003</x:v>
      </x:c>
      <x:c r="O12" s="28" t="n">
        <x:v>0.815660606060606</x:v>
      </x:c>
      <x:c r="P12" s="28" t="n">
        <x:v>0.923333333333334</x:v>
      </x:c>
      <x:c r="Q12" s="28" t="n">
        <x:f t="shared" si="4"/>
        <x:v>0.10767272727272803</x:v>
      </x:c>
    </x:row>
    <x:row r="13">
      <x:c r="A13" s="19" t="n">
        <x:v>5</x:v>
      </x:c>
      <x:c r="B13" s="20" t="str">
        <x:v>台北市</x:v>
      </x:c>
      <x:c r="C13" s="20" t="str">
        <x:v>松山區</x:v>
      </x:c>
      <x:c r="D13" s="21" t="str">
        <x:v>捷運小巨蛋站(3號出口)</x:v>
      </x:c>
      <x:c r="E13" s="22" t="n">
        <x:v>384.8</x:v>
      </x:c>
      <x:c r="F13" s="22" t="n">
        <x:v>502.2</x:v>
      </x:c>
      <x:c r="G13" s="22" t="n">
        <x:f t="shared" si="0"/>
        <x:v>117.39999999999998</x:v>
      </x:c>
      <x:c r="H13" s="23" t="n">
        <x:f t="shared" si="1"/>
        <x:v>0.305093555093555</x:v>
      </x:c>
      <x:c r="I13" s="23" t="n">
        <x:v>0.868434595959596</x:v>
      </x:c>
      <x:c r="J13" s="23" t="n">
        <x:v>0.842223333333333</x:v>
      </x:c>
      <x:c r="K13" s="23" t="n">
        <x:f t="shared" si="2"/>
        <x:v>-0.026211262626263054</x:v>
      </x:c>
      <x:c r="L13" s="23" t="n">
        <x:v>0.928280303030303</x:v>
      </x:c>
      <x:c r="M13" s="23" t="n">
        <x:v>0.82</x:v>
      </x:c>
      <x:c r="N13" s="23" t="n">
        <x:f t="shared" si="3"/>
        <x:v>-0.108280303030303</x:v>
      </x:c>
      <x:c r="O13" s="23" t="n">
        <x:v>0.92045303030303</x:v>
      </x:c>
      <x:c r="P13" s="23" t="n">
        <x:v>0.947773333333333</x:v>
      </x:c>
      <x:c r="Q13" s="23" t="n">
        <x:f t="shared" si="4"/>
        <x:v>0.027320303030302973</x:v>
      </x:c>
    </x:row>
    <x:row r="14">
      <x:c r="A14" s="24" t="n">
        <x:v>6</x:v>
      </x:c>
      <x:c r="B14" s="25" t="str">
        <x:v>台北市</x:v>
      </x:c>
      <x:c r="C14" s="25" t="str">
        <x:v>大安區</x:v>
      </x:c>
      <x:c r="D14" s="26" t="str">
        <x:v>大安運動中心</x:v>
      </x:c>
      <x:c r="E14" s="27" t="n">
        <x:v>296.7</x:v>
      </x:c>
      <x:c r="F14" s="27" t="n">
        <x:v>414</x:v>
      </x:c>
      <x:c r="G14" s="27" t="n">
        <x:f t="shared" si="0"/>
        <x:v>117.30000000000001</x:v>
      </x:c>
      <x:c r="H14" s="28" t="n">
        <x:f t="shared" si="1"/>
        <x:v>0.39534883720930236</x:v>
      </x:c>
      <x:c r="I14" s="28" t="n">
        <x:v>0.890907575757576</x:v>
      </x:c>
      <x:c r="J14" s="28" t="n">
        <x:v>0.933704444444444</x:v>
      </x:c>
      <x:c r="K14" s="28" t="n">
        <x:f t="shared" si="2"/>
        <x:v>0.04279686868686805</x:v>
      </x:c>
      <x:c r="L14" s="28" t="n">
        <x:v>0.985606060606061</x:v>
      </x:c>
      <x:c r="M14" s="28" t="n">
        <x:v>1</x:v>
      </x:c>
      <x:c r="N14" s="28" t="n">
        <x:f t="shared" si="3"/>
        <x:v>0.01439393939393896</x:v>
      </x:c>
      <x:c r="O14" s="28" t="n">
        <x:v>0.849743939393939</x:v>
      </x:c>
      <x:c r="P14" s="28" t="n">
        <x:v>0.947773333333333</x:v>
      </x:c>
      <x:c r="Q14" s="28" t="n">
        <x:f t="shared" si="4"/>
        <x:v>0.09802939393939403</x:v>
      </x:c>
    </x:row>
    <x:row r="15">
      <x:c r="A15" s="19" t="n">
        <x:v>7</x:v>
      </x:c>
      <x:c r="B15" s="20" t="str">
        <x:v>台北市</x:v>
      </x:c>
      <x:c r="C15" s="20" t="str">
        <x:v>大安區</x:v>
      </x:c>
      <x:c r="D15" s="21" t="str">
        <x:v>敦化南路二段103巷口</x:v>
      </x:c>
      <x:c r="E15" s="22" t="n">
        <x:v>335.1</x:v>
      </x:c>
      <x:c r="F15" s="22" t="n">
        <x:v>440.2</x:v>
      </x:c>
      <x:c r="G15" s="22" t="n">
        <x:f t="shared" si="0"/>
        <x:v>105.09999999999997</x:v>
      </x:c>
      <x:c r="H15" s="23" t="n">
        <x:f t="shared" si="1"/>
        <x:v>0.313637720083557</x:v>
      </x:c>
      <x:c r="I15" s="23" t="n">
        <x:v>0.831902272727273</x:v>
      </x:c>
      <x:c r="J15" s="23" t="n">
        <x:v>0.900372222222222</x:v>
      </x:c>
      <x:c r="K15" s="23" t="n">
        <x:f t="shared" si="2"/>
        <x:v>0.068469949494949</x:v>
      </x:c>
      <x:c r="L15" s="23" t="n">
        <x:v>0.986616666666667</x:v>
      </x:c>
      <x:c r="M15" s="23" t="n">
        <x:v>0.99778</x:v>
      </x:c>
      <x:c r="N15" s="23" t="n">
        <x:f t="shared" si="3"/>
        <x:v>0.01116333333333297</x:v>
      </x:c>
      <x:c r="O15" s="23" t="n">
        <x:v>0.731818181818182</x:v>
      </x:c>
      <x:c r="P15" s="23" t="n">
        <x:v>0.866666666666667</x:v>
      </x:c>
      <x:c r="Q15" s="23" t="n">
        <x:f t="shared" si="4"/>
        <x:v>0.134848484848485</x:v>
      </x:c>
    </x:row>
    <x:row r="16">
      <x:c r="A16" s="24" t="n">
        <x:v>8</x:v>
      </x:c>
      <x:c r="B16" s="25" t="str">
        <x:v>台北市</x:v>
      </x:c>
      <x:c r="C16" s="25" t="str">
        <x:v>士林區</x:v>
      </x:c>
      <x:c r="D16" s="26" t="str">
        <x:v>劍潭基河路口</x:v>
      </x:c>
      <x:c r="E16" s="27" t="n">
        <x:v>476.7</x:v>
      </x:c>
      <x:c r="F16" s="27" t="n">
        <x:v>580.4</x:v>
      </x:c>
      <x:c r="G16" s="27" t="n">
        <x:f t="shared" si="0"/>
        <x:v>103.69999999999999</x:v>
      </x:c>
      <x:c r="H16" s="28" t="n">
        <x:f t="shared" si="1"/>
        <x:v>0.21753723515838053</x:v>
      </x:c>
      <x:c r="I16" s="28" t="n">
        <x:v>0.897516919191919</x:v>
      </x:c>
      <x:c r="J16" s="28" t="n">
        <x:v>0.960741111111111</x:v>
      </x:c>
      <x:c r="K16" s="28" t="n">
        <x:f t="shared" si="2"/>
        <x:v>0.06322419191919204</x:v>
      </x:c>
      <x:c r="L16" s="28" t="n">
        <x:v>1</x:v>
      </x:c>
      <x:c r="M16" s="28" t="n">
        <x:v>1</x:v>
      </x:c>
      <x:c r="N16" s="28" t="n">
        <x:f t="shared" si="3"/>
        <x:v>0</x:v>
      </x:c>
      <x:c r="O16" s="28" t="n">
        <x:v>0.921210606060606</x:v>
      </x:c>
      <x:c r="P16" s="28" t="n">
        <x:v>0.984446666666667</x:v>
      </x:c>
      <x:c r="Q16" s="28" t="n">
        <x:f t="shared" si="4"/>
        <x:v>0.06323606060606102</x:v>
      </x:c>
    </x:row>
    <x:row r="17">
      <x:c r="A17" s="19" t="n">
        <x:v>9</x:v>
      </x:c>
      <x:c r="B17" s="20" t="str">
        <x:v>台北市</x:v>
      </x:c>
      <x:c r="C17" s="20" t="str">
        <x:v>內湖區</x:v>
      </x:c>
      <x:c r="D17" s="21" t="str">
        <x:v>捷運內湖站(1號出口)</x:v>
      </x:c>
      <x:c r="E17" s="22" t="n">
        <x:v>256</x:v>
      </x:c>
      <x:c r="F17" s="22" t="n">
        <x:v>358.6</x:v>
      </x:c>
      <x:c r="G17" s="22" t="n">
        <x:f t="shared" si="0"/>
        <x:v>102.60000000000002</x:v>
      </x:c>
      <x:c r="H17" s="23" t="n">
        <x:f t="shared" si="1"/>
        <x:v>0.4007812500000001</x:v>
      </x:c>
      <x:c r="I17" s="23" t="n">
        <x:v>0.887584848484849</x:v>
      </x:c>
      <x:c r="J17" s="23" t="n">
        <x:v>0.94963</x:v>
      </x:c>
      <x:c r="K17" s="23" t="n">
        <x:f t="shared" si="2"/>
        <x:v>0.062045151515151</x:v>
      </x:c>
      <x:c r="L17" s="23" t="n">
        <x:v>0.997475757575758</x:v>
      </x:c>
      <x:c r="M17" s="23" t="n">
        <x:v>0.985553333333333</x:v>
      </x:c>
      <x:c r="N17" s="23" t="n">
        <x:f t="shared" si="3"/>
        <x:v>-0.011922424242425067</x:v>
      </x:c>
      <x:c r="O17" s="23" t="n">
        <x:v>0.911112121212121</x:v>
      </x:c>
      <x:c r="P17" s="23" t="n">
        <x:v>1</x:v>
      </x:c>
      <x:c r="Q17" s="23" t="n">
        <x:f t="shared" si="4"/>
        <x:v>0.08888787878787896</x:v>
      </x:c>
    </x:row>
    <x:row r="18">
      <x:c r="A18" s="24" t="n">
        <x:v>10</x:v>
      </x:c>
      <x:c r="B18" s="25" t="str">
        <x:v>台北市</x:v>
      </x:c>
      <x:c r="C18" s="25" t="str">
        <x:v>中山區</x:v>
      </x:c>
      <x:c r="D18" s="26" t="str">
        <x:v>捷運劍南路站(2號出口)</x:v>
      </x:c>
      <x:c r="E18" s="27" t="n">
        <x:v>390.4</x:v>
      </x:c>
      <x:c r="F18" s="27" t="n">
        <x:v>488</x:v>
      </x:c>
      <x:c r="G18" s="27" t="n">
        <x:f t="shared" si="0"/>
        <x:v>97.60000000000002</x:v>
      </x:c>
      <x:c r="H18" s="28" t="n">
        <x:f t="shared" si="1"/>
        <x:v>0.25000000000000006</x:v>
      </x:c>
      <x:c r="I18" s="28" t="n">
        <x:v>0.897011868686869</x:v>
      </x:c>
      <x:c r="J18" s="28" t="n">
        <x:v>0.936664444444445</x:v>
      </x:c>
      <x:c r="K18" s="28" t="n">
        <x:f t="shared" si="2"/>
        <x:v>0.03965257575757597</x:v>
      </x:c>
      <x:c r="L18" s="28" t="n">
        <x:v>0.998231818181818</x:v>
      </x:c>
      <x:c r="M18" s="28" t="n">
        <x:v>1</x:v>
      </x:c>
      <x:c r="N18" s="28" t="n">
        <x:f t="shared" si="3"/>
        <x:v>0.0017681818181819464</x:v>
      </x:c>
      <x:c r="O18" s="28" t="n">
        <x:v>0.918180303030303</x:v>
      </x:c>
      <x:c r="P18" s="28" t="n">
        <x:v>1</x:v>
      </x:c>
      <x:c r="Q18" s="28" t="n">
        <x:f t="shared" si="4"/>
        <x:v>0.08181969696969704</x:v>
      </x:c>
    </x:row>
    <x:row r="19">
      <x:c r="A19" s="19" t="n">
        <x:v>11</x:v>
      </x:c>
      <x:c r="B19" s="20" t="str">
        <x:v>台北市</x:v>
      </x:c>
      <x:c r="C19" s="20" t="str">
        <x:v>內湖區</x:v>
      </x:c>
      <x:c r="D19" s="21" t="str">
        <x:v>捷運港墘站(1號出口)</x:v>
      </x:c>
      <x:c r="E19" s="22" t="n">
        <x:v>351.7</x:v>
      </x:c>
      <x:c r="F19" s="22" t="n">
        <x:v>448.2</x:v>
      </x:c>
      <x:c r="G19" s="22" t="n">
        <x:f t="shared" si="0"/>
        <x:v>96.5</x:v>
      </x:c>
      <x:c r="H19" s="23" t="n">
        <x:f t="shared" si="1"/>
        <x:v>0.2743815752061416</x:v>
      </x:c>
      <x:c r="I19" s="23" t="n">
        <x:v>0.872515909090909</x:v>
      </x:c>
      <x:c r="J19" s="23" t="n">
        <x:v>0.897034444444445</x:v>
      </x:c>
      <x:c r="K19" s="23" t="n">
        <x:f t="shared" si="2"/>
        <x:v>0.024518535353535986</x:v>
      </x:c>
      <x:c r="L19" s="23" t="n">
        <x:v>0.89520303030303</x:v>
      </x:c>
      <x:c r="M19" s="23" t="n">
        <x:v>0.88778</x:v>
      </x:c>
      <x:c r="N19" s="23" t="n">
        <x:f t="shared" si="3"/>
        <x:v>-0.007423030303029932</x:v>
      </x:c>
      <x:c r="O19" s="23" t="n">
        <x:v>0.911110606060606</x:v>
      </x:c>
      <x:c r="P19" s="23" t="n">
        <x:v>1</x:v>
      </x:c>
      <x:c r="Q19" s="23" t="n">
        <x:f t="shared" si="4"/>
        <x:v>0.08888939393939399</x:v>
      </x:c>
    </x:row>
    <x:row r="20">
      <x:c r="A20" s="24" t="n">
        <x:v>12</x:v>
      </x:c>
      <x:c r="B20" s="25" t="str">
        <x:v>台北市</x:v>
      </x:c>
      <x:c r="C20" s="25" t="str">
        <x:v>南港區</x:v>
      </x:c>
      <x:c r="D20" s="26" t="str">
        <x:v>南港車站(市民大道)</x:v>
      </x:c>
      <x:c r="E20" s="27" t="n">
        <x:v>378.6</x:v>
      </x:c>
      <x:c r="F20" s="27" t="n">
        <x:v>471.4</x:v>
      </x:c>
      <x:c r="G20" s="27" t="n">
        <x:f t="shared" si="0"/>
        <x:v>92.79999999999995</x:v>
      </x:c>
      <x:c r="H20" s="28" t="n">
        <x:f t="shared" si="1"/>
        <x:v>0.24511357633386147</x:v>
      </x:c>
      <x:c r="I20" s="28" t="n">
        <x:v>0.896968686868687</x:v>
      </x:c>
      <x:c r="J20" s="28" t="n">
        <x:v>0.892223333333334</x:v>
      </x:c>
      <x:c r="K20" s="28" t="n">
        <x:f t="shared" si="2"/>
        <x:v>-0.004745353535352992</x:v>
      </x:c>
      <x:c r="L20" s="28" t="n">
        <x:v>0.750760606060606</x:v>
      </x:c>
      <x:c r="M20" s="28" t="n">
        <x:v>0.727773333333333</x:v>
      </x:c>
      <x:c r="N20" s="28" t="n">
        <x:f t="shared" si="3"/>
        <x:v>-0.022987272727272967</x:v>
      </x:c>
      <x:c r="O20" s="28" t="n">
        <x:v>0.99974696969697</x:v>
      </x:c>
      <x:c r="P20" s="28" t="n">
        <x:v>1</x:v>
      </x:c>
      <x:c r="Q20" s="28" t="n">
        <x:f t="shared" si="4"/>
        <x:v>0.00025303030303003293</x:v>
      </x:c>
    </x:row>
    <x:row r="21">
      <x:c r="A21" s="19" t="n">
        <x:v>13</x:v>
      </x:c>
      <x:c r="B21" s="20" t="str">
        <x:v>台北市</x:v>
      </x:c>
      <x:c r="C21" s="20" t="str">
        <x:v>大安區</x:v>
      </x:c>
      <x:c r="D21" s="21" t="str">
        <x:v>捷運大安站(4號出口)</x:v>
      </x:c>
      <x:c r="E21" s="22" t="n">
        <x:v>714.2</x:v>
      </x:c>
      <x:c r="F21" s="22" t="n">
        <x:v>799.8</x:v>
      </x:c>
      <x:c r="G21" s="22" t="n">
        <x:f t="shared" si="0"/>
        <x:v>85.59999999999991</x:v>
      </x:c>
      <x:c r="H21" s="23" t="n">
        <x:f t="shared" si="1"/>
        <x:v>0.11985438252590297</x:v>
      </x:c>
      <x:c r="I21" s="23" t="n">
        <x:v>0.82790505050505</x:v>
      </x:c>
      <x:c r="J21" s="23" t="n">
        <x:v>0.85796</x:v>
      </x:c>
      <x:c r="K21" s="23" t="n">
        <x:f t="shared" si="2"/>
        <x:v>0.030054949494949912</x:v>
      </x:c>
      <x:c r="L21" s="23" t="n">
        <x:v>0.853787878787879</x:v>
      </x:c>
      <x:c r="M21" s="23" t="n">
        <x:v>0.841113333333333</x:v>
      </x:c>
      <x:c r="N21" s="23" t="n">
        <x:f t="shared" si="3"/>
        <x:v>-0.012674545454545938</x:v>
      </x:c>
      <x:c r="O21" s="23" t="n">
        <x:v>0.911112121212121</x:v>
      </x:c>
      <x:c r="P21" s="23" t="n">
        <x:v>0.976666666666667</x:v>
      </x:c>
      <x:c r="Q21" s="23" t="n">
        <x:f t="shared" si="4"/>
        <x:v>0.06555454545454598</x:v>
      </x:c>
    </x:row>
    <x:row r="22">
      <x:c r="A22" s="24" t="n">
        <x:v>14</x:v>
      </x:c>
      <x:c r="B22" s="25" t="str">
        <x:v>台北市</x:v>
      </x:c>
      <x:c r="C22" s="25" t="str">
        <x:v>信義區</x:v>
      </x:c>
      <x:c r="D22" s="26" t="str">
        <x:v>信義廣場(台北101)</x:v>
      </x:c>
      <x:c r="E22" s="27" t="n">
        <x:v>277.2</x:v>
      </x:c>
      <x:c r="F22" s="27" t="n">
        <x:v>361</x:v>
      </x:c>
      <x:c r="G22" s="27" t="n">
        <x:f t="shared" si="0"/>
        <x:v>83.80000000000001</x:v>
      </x:c>
      <x:c r="H22" s="28" t="n">
        <x:f t="shared" si="1"/>
        <x:v>0.30230880230880236</x:v>
      </x:c>
      <x:c r="I22" s="28" t="n">
        <x:v>0.848738383838384</x:v>
      </x:c>
      <x:c r="J22" s="28" t="n">
        <x:v>1</x:v>
      </x:c>
      <x:c r="K22" s="28" t="n">
        <x:f t="shared" si="2"/>
        <x:v>0.15126161616161604</x:v>
      </x:c>
      <x:c r="L22" s="28" t="n">
        <x:v>0.97954696969697</x:v>
      </x:c>
      <x:c r="M22" s="28" t="n">
        <x:v>1</x:v>
      </x:c>
      <x:c r="N22" s="28" t="n">
        <x:f t="shared" si="3"/>
        <x:v>0.02045303030303003</x:v>
      </x:c>
      <x:c r="O22" s="28" t="n">
        <x:v>0.864145454545454</x:v>
      </x:c>
      <x:c r="P22" s="28" t="n">
        <x:v>1</x:v>
      </x:c>
      <x:c r="Q22" s="28" t="n">
        <x:f t="shared" si="4"/>
        <x:v>0.135854545454546</x:v>
      </x:c>
    </x:row>
    <x:row r="23">
      <x:c r="A23" s="19" t="n">
        <x:v>15</x:v>
      </x:c>
      <x:c r="B23" s="20" t="str">
        <x:v>台北市</x:v>
      </x:c>
      <x:c r="C23" s="20" t="str">
        <x:v>大安區</x:v>
      </x:c>
      <x:c r="D23" s="21" t="str">
        <x:v>臨江街夜市(基隆路)</x:v>
      </x:c>
      <x:c r="E23" s="22" t="n">
        <x:v>276.3</x:v>
      </x:c>
      <x:c r="F23" s="22" t="n">
        <x:v>358.8</x:v>
      </x:c>
      <x:c r="G23" s="22" t="n">
        <x:f t="shared" si="0"/>
        <x:v>82.5</x:v>
      </x:c>
      <x:c r="H23" s="23" t="n">
        <x:f t="shared" si="1"/>
        <x:v>0.29858849077090116</x:v>
      </x:c>
      <x:c r="I23" s="23" t="n">
        <x:v>0.888384090909091</x:v>
      </x:c>
      <x:c r="J23" s="23" t="n">
        <x:v>0.934998888888889</x:v>
      </x:c>
      <x:c r="K23" s="23" t="n">
        <x:f t="shared" si="2"/>
        <x:v>0.04661479797979806</x:v>
      </x:c>
      <x:c r="L23" s="23" t="n">
        <x:v>0.813889393939394</x:v>
      </x:c>
      <x:c r="M23" s="23" t="n">
        <x:v>0.906666666666667</x:v>
      </x:c>
      <x:c r="N23" s="23" t="n">
        <x:f t="shared" si="3"/>
        <x:v>0.09277727272727299</x:v>
      </x:c>
      <x:c r="O23" s="23" t="n">
        <x:v>0.982071212121212</x:v>
      </x:c>
      <x:c r="P23" s="23" t="n">
        <x:v>0.996666666666667</x:v>
      </x:c>
      <x:c r="Q23" s="23" t="n">
        <x:f t="shared" si="4"/>
        <x:v>0.014595454545455078</x:v>
      </x:c>
    </x:row>
    <x:row r="24">
      <x:c r="A24" s="24" t="n">
        <x:v>16</x:v>
      </x:c>
      <x:c r="B24" s="25" t="str">
        <x:v>台北市</x:v>
      </x:c>
      <x:c r="C24" s="25" t="str">
        <x:v>松山區</x:v>
      </x:c>
      <x:c r="D24" s="26" t="str">
        <x:v>捷運南京復興站(7號出口)</x:v>
      </x:c>
      <x:c r="E24" s="27" t="n">
        <x:v>502.3</x:v>
      </x:c>
      <x:c r="F24" s="27" t="n">
        <x:v>584.8</x:v>
      </x:c>
      <x:c r="G24" s="27" t="n">
        <x:f t="shared" si="0"/>
        <x:v>82.49999999999994</x:v>
      </x:c>
      <x:c r="H24" s="28" t="n">
        <x:f t="shared" si="1"/>
        <x:v>0.1642444754130996</x:v>
      </x:c>
      <x:c r="I24" s="28" t="n">
        <x:v>0.890656565656566</x:v>
      </x:c>
      <x:c r="J24" s="28" t="n">
        <x:v>0.86685</x:v>
      </x:c>
      <x:c r="K24" s="28" t="n">
        <x:f t="shared" si="2"/>
        <x:v>-0.023806565656566026</x:v>
      </x:c>
      <x:c r="L24" s="28" t="n">
        <x:v>0.887377272727273</x:v>
      </x:c>
      <x:c r="M24" s="28" t="n">
        <x:v>0.74666</x:v>
      </x:c>
      <x:c r="N24" s="28" t="n">
        <x:f t="shared" si="3"/>
        <x:v>-0.14071727272727297</x:v>
      </x:c>
      <x:c r="O24" s="28" t="n">
        <x:v>0.942172727272727</x:v>
      </x:c>
      <x:c r="P24" s="28" t="n">
        <x:v>0.966666666666667</x:v>
      </x:c>
      <x:c r="Q24" s="28" t="n">
        <x:f t="shared" si="4"/>
        <x:v>0.024493939393939956</x:v>
      </x:c>
    </x:row>
    <x:row r="25">
      <x:c r="A25" s="19" t="n">
        <x:v>17</x:v>
      </x:c>
      <x:c r="B25" s="20" t="str">
        <x:v>台北市</x:v>
      </x:c>
      <x:c r="C25" s="20" t="str">
        <x:v>信義區</x:v>
      </x:c>
      <x:c r="D25" s="21" t="str">
        <x:v>捷運台北101/世貿站(5號出口)</x:v>
      </x:c>
      <x:c r="E25" s="22" t="n">
        <x:v>225</x:v>
      </x:c>
      <x:c r="F25" s="22" t="n">
        <x:v>307.4</x:v>
      </x:c>
      <x:c r="G25" s="22" t="n">
        <x:f t="shared" si="0"/>
        <x:v>82.39999999999998</x:v>
      </x:c>
      <x:c r="H25" s="23" t="n">
        <x:f t="shared" si="1"/>
        <x:v>0.3662222222222221</x:v>
      </x:c>
      <x:c r="I25" s="23" t="n">
        <x:v>0.894612373737374</x:v>
      </x:c>
      <x:c r="J25" s="23" t="n">
        <x:v>0.843147777777778</x:v>
      </x:c>
      <x:c r="K25" s="23" t="n">
        <x:f t="shared" si="2"/>
        <x:v>-0.05146459595959596</x:v>
      </x:c>
      <x:c r="L25" s="23" t="n">
        <x:v>0.937122727272727</x:v>
      </x:c>
      <x:c r="M25" s="23" t="n">
        <x:v>0.97444</x:v>
      </x:c>
      <x:c r="N25" s="23" t="n">
        <x:f t="shared" si="3"/>
        <x:v>0.03731727272727292</x:v>
      </x:c>
      <x:c r="O25" s="23" t="n">
        <x:v>0.921213636363636</x:v>
      </x:c>
      <x:c r="P25" s="23" t="n">
        <x:v>0.79778</x:v>
      </x:c>
      <x:c r="Q25" s="23" t="n">
        <x:f t="shared" si="4"/>
        <x:v>-0.12343363636363591</x:v>
      </x:c>
    </x:row>
    <x:row r="26">
      <x:c r="A26" s="24" t="n">
        <x:v>18</x:v>
      </x:c>
      <x:c r="B26" s="25" t="str">
        <x:v>台北市</x:v>
      </x:c>
      <x:c r="C26" s="25" t="str">
        <x:v>信義區</x:v>
      </x:c>
      <x:c r="D26" s="26" t="str">
        <x:v>捷運台北101/世貿站(3號出口)</x:v>
      </x:c>
      <x:c r="E26" s="27" t="n">
        <x:v>366.8</x:v>
      </x:c>
      <x:c r="F26" s="27" t="n">
        <x:v>448.2</x:v>
      </x:c>
      <x:c r="G26" s="27" t="n">
        <x:f t="shared" si="0"/>
        <x:v>81.39999999999998</x:v>
      </x:c>
      <x:c r="H26" s="28" t="n">
        <x:f t="shared" si="1"/>
        <x:v>0.22191930207197375</x:v>
      </x:c>
      <x:c r="I26" s="28" t="n">
        <x:v>0.86262702020202</x:v>
      </x:c>
      <x:c r="J26" s="28" t="n">
        <x:v>0.882591111111111</x:v>
      </x:c>
      <x:c r="K26" s="28" t="n">
        <x:f t="shared" si="2"/>
        <x:v>0.019964090909091015</x:v>
      </x:c>
      <x:c r="L26" s="28" t="n">
        <x:v>0.995959090909091</x:v>
      </x:c>
      <x:c r="M26" s="28" t="n">
        <x:v>1</x:v>
      </x:c>
      <x:c r="N26" s="28" t="n">
        <x:f t="shared" si="3"/>
        <x:v>0.0040409090909090395</x:v>
      </x:c>
      <x:c r="O26" s="28" t="n">
        <x:v>0.842172727272727</x:v>
      </x:c>
      <x:c r="P26" s="28" t="n">
        <x:v>0.85444</x:v>
      </x:c>
      <x:c r="Q26" s="28" t="n">
        <x:f t="shared" si="4"/>
        <x:v>0.012267272727273015</x:v>
      </x:c>
    </x:row>
    <x:row r="27">
      <x:c r="A27" s="19" t="n">
        <x:v>19</x:v>
      </x:c>
      <x:c r="B27" s="20" t="str">
        <x:v>台北市</x:v>
      </x:c>
      <x:c r="C27" s="20" t="str">
        <x:v>松山區</x:v>
      </x:c>
      <x:c r="D27" s="21" t="str">
        <x:v>復源公園</x:v>
      </x:c>
      <x:c r="E27" s="22" t="n">
        <x:v>208.6</x:v>
      </x:c>
      <x:c r="F27" s="22" t="n">
        <x:v>284</x:v>
      </x:c>
      <x:c r="G27" s="22" t="n">
        <x:f t="shared" si="0"/>
        <x:v>75.4</x:v>
      </x:c>
      <x:c r="H27" s="23" t="n">
        <x:f t="shared" si="1"/>
        <x:v>0.36145733461169705</x:v>
      </x:c>
      <x:c r="I27" s="23" t="n">
        <x:v>0.899073484848485</x:v>
      </x:c>
      <x:c r="J27" s="23" t="n">
        <x:v>0.907778888888889</x:v>
      </x:c>
      <x:c r="K27" s="23" t="n">
        <x:f t="shared" si="2"/>
        <x:v>0.008705404040403986</x:v>
      </x:c>
      <x:c r="L27" s="23" t="n">
        <x:v>0.711615151515152</x:v>
      </x:c>
      <x:c r="M27" s="23" t="n">
        <x:v>0.802226666666667</x:v>
      </x:c>
      <x:c r="N27" s="23" t="n">
        <x:f t="shared" si="3"/>
        <x:v>0.090611515151515</x:v>
      </x:c>
      <x:c r="O27" s="23" t="n">
        <x:v>0.997727272727273</x:v>
      </x:c>
      <x:c r="P27" s="23" t="n">
        <x:v>0.985553333333333</x:v>
      </x:c>
      <x:c r="Q27" s="23" t="n">
        <x:f t="shared" si="4"/>
        <x:v>-0.01217393939394007</x:v>
      </x:c>
    </x:row>
    <x:row r="28">
      <x:c r="A28" s="24" t="n">
        <x:v>20</x:v>
      </x:c>
      <x:c r="B28" s="25" t="str">
        <x:v>台北市</x:v>
      </x:c>
      <x:c r="C28" s="25" t="str">
        <x:v>松山區</x:v>
      </x:c>
      <x:c r="D28" s="26" t="str">
        <x:v>捷運南京三民站(3號出口)</x:v>
      </x:c>
      <x:c r="E28" s="27" t="n">
        <x:v>317.7</x:v>
      </x:c>
      <x:c r="F28" s="27" t="n">
        <x:v>392.4</x:v>
      </x:c>
      <x:c r="G28" s="27" t="n">
        <x:f t="shared" si="0"/>
        <x:v>74.69999999999999</x:v>
      </x:c>
      <x:c r="H28" s="28" t="n">
        <x:f t="shared" si="1"/>
        <x:v>0.23512747875354104</x:v>
      </x:c>
      <x:c r="I28" s="28" t="n">
        <x:v>0.897222222222223</x:v>
      </x:c>
      <x:c r="J28" s="28" t="n">
        <x:v>0.905741111111111</x:v>
      </x:c>
      <x:c r="K28" s="28" t="n">
        <x:f t="shared" si="2"/>
        <x:v>0.008518888888887965</x:v>
      </x:c>
      <x:c r="L28" s="28" t="n">
        <x:v>0.982575757575757</x:v>
      </x:c>
      <x:c r="M28" s="28" t="n">
        <x:v>0.953333333333333</x:v>
      </x:c>
      <x:c r="N28" s="28" t="n">
        <x:f t="shared" si="3"/>
        <x:v>-0.02924242424242396</x:v>
      </x:c>
      <x:c r="O28" s="28" t="n">
        <x:v>0.894445454545454</x:v>
      </x:c>
      <x:c r="P28" s="28" t="n">
        <x:v>0.945553333333333</x:v>
      </x:c>
      <x:c r="Q28" s="28" t="n">
        <x:f t="shared" si="4"/>
        <x:v>0.051107878787879035</x:v>
      </x:c>
    </x:row>
    <x:row r="29">
      <x:c r="A29" s="19" t="n">
        <x:v>21</x:v>
      </x:c>
      <x:c r="B29" s="20" t="str">
        <x:v>台北市</x:v>
      </x:c>
      <x:c r="C29" s="20" t="str">
        <x:v>內湖區</x:v>
      </x:c>
      <x:c r="D29" s="21" t="str">
        <x:v>捷運文德站(2號出口)</x:v>
      </x:c>
      <x:c r="E29" s="22" t="n">
        <x:v>338.6</x:v>
      </x:c>
      <x:c r="F29" s="22" t="n">
        <x:v>411</x:v>
      </x:c>
      <x:c r="G29" s="22" t="n">
        <x:f t="shared" si="0"/>
        <x:v>72.39999999999998</x:v>
      </x:c>
      <x:c r="H29" s="23" t="n">
        <x:f t="shared" si="1"/>
        <x:v>0.2138216184288245</x:v>
      </x:c>
      <x:c r="I29" s="23" t="n">
        <x:v>0.886362121212121</x:v>
      </x:c>
      <x:c r="J29" s="23" t="n">
        <x:v>0.896478888888889</x:v>
      </x:c>
      <x:c r="K29" s="23" t="n">
        <x:f t="shared" si="2"/>
        <x:v>0.010116767676768057</x:v>
      </x:c>
      <x:c r="L29" s="23" t="n">
        <x:v>0.953534848484849</x:v>
      </x:c>
      <x:c r="M29" s="23" t="n">
        <x:v>0.896666666666667</x:v>
      </x:c>
      <x:c r="N29" s="23" t="n">
        <x:f t="shared" si="3"/>
        <x:v>-0.056868181818182095</x:v>
      </x:c>
      <x:c r="O29" s="23" t="n">
        <x:v>0.951515151515151</x:v>
      </x:c>
      <x:c r="P29" s="23" t="n">
        <x:v>0.996666666666667</x:v>
      </x:c>
      <x:c r="Q29" s="23" t="n">
        <x:f t="shared" si="4"/>
        <x:v>0.04515151515151605</x:v>
      </x:c>
    </x:row>
    <x:row r="30">
      <x:c r="A30" s="24" t="n">
        <x:v>22</x:v>
      </x:c>
      <x:c r="B30" s="25" t="str">
        <x:v>台北市</x:v>
      </x:c>
      <x:c r="C30" s="25" t="str">
        <x:v>中山區</x:v>
      </x:c>
      <x:c r="D30" s="26" t="str">
        <x:v>捷運南京復興站(1號出口)</x:v>
      </x:c>
      <x:c r="E30" s="27" t="n">
        <x:v>322.7</x:v>
      </x:c>
      <x:c r="F30" s="27" t="n">
        <x:v>393.2</x:v>
      </x:c>
      <x:c r="G30" s="27" t="n">
        <x:f t="shared" si="0"/>
        <x:v>70.5</x:v>
      </x:c>
      <x:c r="H30" s="28" t="n">
        <x:f t="shared" si="1"/>
        <x:v>0.2184691664084289</x:v>
      </x:c>
      <x:c r="I30" s="28" t="n">
        <x:v>0.889267676767677</x:v>
      </x:c>
      <x:c r="J30" s="28" t="n">
        <x:v>0.88</x:v>
      </x:c>
      <x:c r="K30" s="28" t="n">
        <x:f t="shared" si="2"/>
        <x:v>-0.009267676767677036</x:v>
      </x:c>
      <x:c r="L30" s="28" t="n">
        <x:v>0.984595454545455</x:v>
      </x:c>
      <x:c r="M30" s="28" t="n">
        <x:v>0.96222</x:v>
      </x:c>
      <x:c r="N30" s="28" t="n">
        <x:f t="shared" si="3"/>
        <x:v>-0.022375454545455087</x:v>
      </x:c>
      <x:c r="O30" s="28" t="n">
        <x:v>0.866412121212121</x:v>
      </x:c>
      <x:c r="P30" s="28" t="n">
        <x:v>0.905553333333333</x:v>
      </x:c>
      <x:c r="Q30" s="28" t="n">
        <x:f t="shared" si="4"/>
        <x:v>0.03914121212121202</x:v>
      </x:c>
    </x:row>
    <x:row r="31">
      <x:c r="A31" s="19" t="n">
        <x:v>23</x:v>
      </x:c>
      <x:c r="B31" s="20" t="str">
        <x:v>台北市</x:v>
      </x:c>
      <x:c r="C31" s="20" t="str">
        <x:v>松山區</x:v>
      </x:c>
      <x:c r="D31" s="21" t="str">
        <x:v>捷運小巨蛋站(5號出口)_1</x:v>
      </x:c>
      <x:c r="E31" s="22" t="n">
        <x:v>293.2</x:v>
      </x:c>
      <x:c r="F31" s="22" t="n">
        <x:v>360.6</x:v>
      </x:c>
      <x:c r="G31" s="22" t="n">
        <x:f t="shared" si="0"/>
        <x:v>67.40000000000003</x:v>
      </x:c>
      <x:c r="H31" s="23" t="n">
        <x:f t="shared" si="1"/>
        <x:v>0.22987721691678048</x:v>
      </x:c>
      <x:c r="I31" s="23" t="n">
        <x:v>0.864014393939394</x:v>
      </x:c>
      <x:c r="J31" s="23" t="n">
        <x:v>0.841294444444445</x:v>
      </x:c>
      <x:c r="K31" s="23" t="n">
        <x:f t="shared" si="2"/>
        <x:v>-0.022719949494949043</x:v>
      </x:c>
      <x:c r="L31" s="23" t="n">
        <x:v>0.812374242424243</x:v>
      </x:c>
      <x:c r="M31" s="23" t="n">
        <x:v>0.801113333333333</x:v>
      </x:c>
      <x:c r="N31" s="23" t="n">
        <x:f t="shared" si="3"/>
        <x:v>-0.011260909090910043</x:v>
      </x:c>
      <x:c r="O31" s="23" t="n">
        <x:v>0.977272727272727</x:v>
      </x:c>
      <x:c r="P31" s="23" t="n">
        <x:v>0.96778</x:v>
      </x:c>
      <x:c r="Q31" s="23" t="n">
        <x:f t="shared" si="4"/>
        <x:v>-0.009492727272726986</x:v>
      </x:c>
    </x:row>
    <x:row r="32">
      <x:c r="A32" s="24" t="n">
        <x:v>24</x:v>
      </x:c>
      <x:c r="B32" s="25" t="str">
        <x:v>台北市</x:v>
      </x:c>
      <x:c r="C32" s="25" t="str">
        <x:v>中正區</x:v>
      </x:c>
      <x:c r="D32" s="26" t="str">
        <x:v>中山堂</x:v>
      </x:c>
      <x:c r="E32" s="27" t="n">
        <x:v>207.9</x:v>
      </x:c>
      <x:c r="F32" s="27" t="n">
        <x:v>275.2</x:v>
      </x:c>
      <x:c r="G32" s="27" t="n">
        <x:f t="shared" si="0"/>
        <x:v>67.29999999999998</x:v>
      </x:c>
      <x:c r="H32" s="28" t="n">
        <x:f t="shared" si="1"/>
        <x:v>0.3237133237133236</x:v>
      </x:c>
      <x:c r="I32" s="28" t="n">
        <x:v>0.859807323232323</x:v>
      </x:c>
      <x:c r="J32" s="28" t="n">
        <x:v>0.98963</x:v>
      </x:c>
      <x:c r="K32" s="28" t="n">
        <x:f t="shared" si="2"/>
        <x:v>0.129822676767677</x:v>
      </x:c>
      <x:c r="L32" s="28" t="n">
        <x:v>0.998484848484849</x:v>
      </x:c>
      <x:c r="M32" s="28" t="n">
        <x:v>1</x:v>
      </x:c>
      <x:c r="N32" s="28" t="n">
        <x:f t="shared" si="3"/>
        <x:v>0.0015151515151510253</x:v>
      </x:c>
      <x:c r="O32" s="28" t="n">
        <x:v>0.545201515151515</x:v>
      </x:c>
      <x:c r="P32" s="28" t="n">
        <x:v>1</x:v>
      </x:c>
      <x:c r="Q32" s="28" t="n">
        <x:f t="shared" si="4"/>
        <x:v>0.45479848484848495</x:v>
      </x:c>
    </x:row>
    <x:row r="33">
      <x:c r="A33" s="19" t="n">
        <x:v>25</x:v>
      </x:c>
      <x:c r="B33" s="20" t="str">
        <x:v>台北市</x:v>
      </x:c>
      <x:c r="C33" s="20" t="str">
        <x:v>信義區</x:v>
      </x:c>
      <x:c r="D33" s="21" t="str">
        <x:v>嘉興街175巷口</x:v>
      </x:c>
      <x:c r="E33" s="22" t="n">
        <x:v>224</x:v>
      </x:c>
      <x:c r="F33" s="22" t="n">
        <x:v>283.4</x:v>
      </x:c>
      <x:c r="G33" s="22" t="n">
        <x:f t="shared" si="0"/>
        <x:v>59.39999999999998</x:v>
      </x:c>
      <x:c r="H33" s="23" t="n">
        <x:f t="shared" si="1"/>
        <x:v>0.2651785714285713</x:v>
      </x:c>
      <x:c r="I33" s="23" t="n">
        <x:v>0.893644696969697</x:v>
      </x:c>
      <x:c r="J33" s="23" t="n">
        <x:v>0.948147777777778</x:v>
      </x:c>
      <x:c r="K33" s="23" t="n">
        <x:f t="shared" si="2"/>
        <x:v>0.054503080808081084</x:v>
      </x:c>
      <x:c r="L33" s="23" t="n">
        <x:v>0.900509090909091</x:v>
      </x:c>
      <x:c r="M33" s="23" t="n">
        <x:v>0.99444</x:v>
      </x:c>
      <x:c r="N33" s="23" t="n">
        <x:f t="shared" si="3"/>
        <x:v>0.09393090909090895</x:v>
      </x:c>
      <x:c r="O33" s="23" t="n">
        <x:v>0.934595454545455</x:v>
      </x:c>
      <x:c r="P33" s="23" t="n">
        <x:v>0.867786666666667</x:v>
      </x:c>
      <x:c r="Q33" s="23" t="n">
        <x:f t="shared" si="4"/>
        <x:v>-0.06680878787878797</x:v>
      </x:c>
    </x:row>
    <x:row r="34">
      <x:c r="A34" s="24" t="n">
        <x:v>26</x:v>
      </x:c>
      <x:c r="B34" s="25" t="str">
        <x:v>台北市</x:v>
      </x:c>
      <x:c r="C34" s="25" t="str">
        <x:v>信義區</x:v>
      </x:c>
      <x:c r="D34" s="26" t="str">
        <x:v>泰和公園</x:v>
      </x:c>
      <x:c r="E34" s="27" t="n">
        <x:v>204</x:v>
      </x:c>
      <x:c r="F34" s="27" t="n">
        <x:v>260</x:v>
      </x:c>
      <x:c r="G34" s="27" t="n">
        <x:f t="shared" si="0"/>
        <x:v>56</x:v>
      </x:c>
      <x:c r="H34" s="28" t="n">
        <x:f t="shared" si="1"/>
        <x:v>0.27450980392156865</x:v>
      </x:c>
      <x:c r="I34" s="28" t="n">
        <x:v>0.872980303030303</x:v>
      </x:c>
      <x:c r="J34" s="28" t="n">
        <x:v>0.936297777777778</x:v>
      </x:c>
      <x:c r="K34" s="28" t="n">
        <x:f t="shared" si="2"/>
        <x:v>0.06331747474747496</x:v>
      </x:c>
      <x:c r="L34" s="28" t="n">
        <x:v>0.860859090909091</x:v>
      </x:c>
      <x:c r="M34" s="28" t="n">
        <x:v>0.974446666666667</x:v>
      </x:c>
      <x:c r="N34" s="28" t="n">
        <x:f t="shared" si="3"/>
        <x:v>0.11358757575757605</x:v>
      </x:c>
      <x:c r="O34" s="28" t="n">
        <x:v>1</x:v>
      </x:c>
      <x:c r="P34" s="28" t="n">
        <x:v>0.99222</x:v>
      </x:c>
      <x:c r="Q34" s="28" t="n">
        <x:f t="shared" si="4"/>
        <x:v>-0.007780000000000009</x:v>
      </x:c>
    </x:row>
    <x:row r="35">
      <x:c r="A35" s="19" t="n">
        <x:v>27</x:v>
      </x:c>
      <x:c r="B35" s="20" t="str">
        <x:v>台北市</x:v>
      </x:c>
      <x:c r="C35" s="20" t="str">
        <x:v>大安區</x:v>
      </x:c>
      <x:c r="D35" s="21" t="str">
        <x:v>捷運臺電大樓站(2號出口)</x:v>
      </x:c>
      <x:c r="E35" s="22" t="n">
        <x:v>305.7</x:v>
      </x:c>
      <x:c r="F35" s="22" t="n">
        <x:v>350</x:v>
      </x:c>
      <x:c r="G35" s="22" t="n">
        <x:f t="shared" si="0"/>
        <x:v>44.30000000000001</x:v>
      </x:c>
      <x:c r="H35" s="23" t="n">
        <x:f t="shared" si="1"/>
        <x:v>0.144913313706248</x:v>
      </x:c>
      <x:c r="I35" s="23" t="n">
        <x:v>0.855893686868687</x:v>
      </x:c>
      <x:c r="J35" s="23" t="n">
        <x:v>0.960927777777778</x:v>
      </x:c>
      <x:c r="K35" s="23" t="n">
        <x:f t="shared" si="2"/>
        <x:v>0.105034090909091</x:v>
      </x:c>
      <x:c r="L35" s="23" t="n">
        <x:v>0.773233333333333</x:v>
      </x:c>
      <x:c r="M35" s="23" t="n">
        <x:v>0.954446666666667</x:v>
      </x:c>
      <x:c r="N35" s="23" t="n">
        <x:f t="shared" si="3"/>
        <x:v>0.181213333333334</x:v>
      </x:c>
      <x:c r="O35" s="23" t="n">
        <x:v>0.997727272727273</x:v>
      </x:c>
      <x:c r="P35" s="23" t="n">
        <x:v>1</x:v>
      </x:c>
      <x:c r="Q35" s="23" t="n">
        <x:f t="shared" si="4"/>
        <x:v>0.002272727272726982</x:v>
      </x:c>
    </x:row>
    <x:row r="36">
      <x:c r="A36" s="24" t="n">
        <x:v>28</x:v>
      </x:c>
      <x:c r="B36" s="25" t="str">
        <x:v>台北市</x:v>
      </x:c>
      <x:c r="C36" s="25" t="str">
        <x:v>文山區</x:v>
      </x:c>
      <x:c r="D36" s="26" t="str">
        <x:v>景行公園</x:v>
      </x:c>
      <x:c r="E36" s="27" t="n">
        <x:v>216.9</x:v>
      </x:c>
      <x:c r="F36" s="27" t="n">
        <x:v>260.6</x:v>
      </x:c>
      <x:c r="G36" s="27" t="n">
        <x:f t="shared" si="0"/>
        <x:v>43.70000000000002</x:v>
      </x:c>
      <x:c r="H36" s="28" t="n">
        <x:f t="shared" si="1"/>
        <x:v>0.2014753342554173</x:v>
      </x:c>
      <x:c r="I36" s="28" t="n">
        <x:v>0.881019696969697</x:v>
      </x:c>
      <x:c r="J36" s="28" t="n">
        <x:v>0.87111</x:v>
      </x:c>
      <x:c r="K36" s="28" t="n">
        <x:f t="shared" si="2"/>
        <x:v>-0.009909696969696902</x:v>
      </x:c>
      <x:c r="L36" s="28" t="n">
        <x:v>0.981565151515152</x:v>
      </x:c>
      <x:c r="M36" s="28" t="n">
        <x:v>0.976666666666667</x:v>
      </x:c>
      <x:c r="N36" s="28" t="n">
        <x:f t="shared" si="3"/>
        <x:v>-0.004898484848484985</x:v>
      </x:c>
      <x:c r="O36" s="28" t="n">
        <x:v>0.873743939393939</x:v>
      </x:c>
      <x:c r="P36" s="28" t="n">
        <x:v>0.929993333333333</x:v>
      </x:c>
      <x:c r="Q36" s="28" t="n">
        <x:f t="shared" si="4"/>
        <x:v>0.05624939393939399</x:v>
      </x:c>
    </x:row>
    <x:row r="37">
      <x:c r="A37" s="19" t="n">
        <x:v>29</x:v>
      </x:c>
      <x:c r="B37" s="20" t="str">
        <x:v>台北市</x:v>
      </x:c>
      <x:c r="C37" s="20" t="str">
        <x:v>中山區</x:v>
      </x:c>
      <x:c r="D37" s="21" t="str">
        <x:v>捷運南京復興站(8號出口)</x:v>
      </x:c>
      <x:c r="E37" s="22" t="n">
        <x:v>325.3</x:v>
      </x:c>
      <x:c r="F37" s="22" t="n">
        <x:v>365.6</x:v>
      </x:c>
      <x:c r="G37" s="22" t="n">
        <x:f t="shared" si="0"/>
        <x:v>40.30000000000001</x:v>
      </x:c>
      <x:c r="H37" s="23" t="n">
        <x:f t="shared" si="1"/>
        <x:v>0.12388564402090381</x:v>
      </x:c>
      <x:c r="I37" s="23" t="n">
        <x:v>0.896844444444445</x:v>
      </x:c>
      <x:c r="J37" s="23" t="n">
        <x:v>0.853518888888889</x:v>
      </x:c>
      <x:c r="K37" s="23" t="n">
        <x:f t="shared" si="2"/>
        <x:v>-0.04332555555555595</x:v>
      </x:c>
      <x:c r="L37" s="23" t="n">
        <x:v>0.979042424242424</x:v>
      </x:c>
      <x:c r="M37" s="23" t="n">
        <x:v>0.89112</x:v>
      </x:c>
      <x:c r="N37" s="23" t="n">
        <x:f t="shared" si="3"/>
        <x:v>-0.08792242424242402</x:v>
      </x:c>
      <x:c r="O37" s="23" t="n">
        <x:v>0.920454545454545</x:v>
      </x:c>
      <x:c r="P37" s="23" t="n">
        <x:v>0.88334</x:v>
      </x:c>
      <x:c r="Q37" s="23" t="n">
        <x:f t="shared" si="4"/>
        <x:v>-0.037114545454544956</x:v>
      </x:c>
    </x:row>
    <x:row r="38">
      <x:c r="A38" s="24" t="n">
        <x:v>30</x:v>
      </x:c>
      <x:c r="B38" s="25" t="str">
        <x:v>台北市</x:v>
      </x:c>
      <x:c r="C38" s="25" t="str">
        <x:v>萬華區</x:v>
      </x:c>
      <x:c r="D38" s="26" t="str">
        <x:v>萬華火車站(D2廣場)</x:v>
      </x:c>
      <x:c r="E38" s="27" t="n">
        <x:v>404.7</x:v>
      </x:c>
      <x:c r="F38" s="27" t="n">
        <x:v>444.2</x:v>
      </x:c>
      <x:c r="G38" s="27" t="n">
        <x:f t="shared" si="0"/>
        <x:v>39.5</x:v>
      </x:c>
      <x:c r="H38" s="28" t="n">
        <x:f t="shared" si="1"/>
        <x:v>0.09760316283666914</x:v>
      </x:c>
      <x:c r="I38" s="28" t="n">
        <x:v>0.896843686868687</x:v>
      </x:c>
      <x:c r="J38" s="28" t="n">
        <x:v>0.928703333333333</x:v>
      </x:c>
      <x:c r="K38" s="28" t="n">
        <x:f t="shared" si="2"/>
        <x:v>0.03185964646464601</x:v>
      </x:c>
      <x:c r="L38" s="28" t="n">
        <x:v>0.93030303030303</x:v>
      </x:c>
      <x:c r="M38" s="28" t="n">
        <x:v>1</x:v>
      </x:c>
      <x:c r="N38" s="28" t="n">
        <x:f t="shared" si="3"/>
        <x:v>0.06969696969697003</x:v>
      </x:c>
      <x:c r="O38" s="28" t="n">
        <x:v>0.94545303030303</x:v>
      </x:c>
      <x:c r="P38" s="28" t="n">
        <x:v>0.92778</x:v>
      </x:c>
      <x:c r="Q38" s="28" t="n">
        <x:f t="shared" si="4"/>
        <x:v>-0.017673030303029913</x:v>
      </x:c>
    </x:row>
    <x:row r="39">
      <x:c r="A39" s="19" t="n">
        <x:v>31</x:v>
      </x:c>
      <x:c r="B39" s="20" t="str">
        <x:v>台北市</x:v>
      </x:c>
      <x:c r="C39" s="20" t="str">
        <x:v>大安區</x:v>
      </x:c>
      <x:c r="D39" s="21" t="str">
        <x:v>捷運大安站(5號出口)</x:v>
      </x:c>
      <x:c r="E39" s="22" t="n">
        <x:v>436.5</x:v>
      </x:c>
      <x:c r="F39" s="22" t="n">
        <x:v>474.2</x:v>
      </x:c>
      <x:c r="G39" s="22" t="n">
        <x:f t="shared" si="0"/>
        <x:v>37.69999999999999</x:v>
      </x:c>
      <x:c r="H39" s="23" t="n">
        <x:f t="shared" si="1"/>
        <x:v>0.08636884306987397</x:v>
      </x:c>
      <x:c r="I39" s="23" t="n">
        <x:v>0.823609595959596</x:v>
      </x:c>
      <x:c r="J39" s="23" t="n">
        <x:v>0.931853333333333</x:v>
      </x:c>
      <x:c r="K39" s="23" t="n">
        <x:f t="shared" si="2"/>
        <x:v>0.10824373737373694</x:v>
      </x:c>
      <x:c r="L39" s="23" t="n">
        <x:v>0.880806060606061</x:v>
      </x:c>
      <x:c r="M39" s="23" t="n">
        <x:v>0.934446666666667</x:v>
      </x:c>
      <x:c r="N39" s="23" t="n">
        <x:f t="shared" si="3"/>
        <x:v>0.053640606060605944</x:v>
      </x:c>
      <x:c r="O39" s="23" t="n">
        <x:v>0.923227272727273</x:v>
      </x:c>
      <x:c r="P39" s="23" t="n">
        <x:v>0.996666666666667</x:v>
      </x:c>
      <x:c r="Q39" s="23" t="n">
        <x:f t="shared" si="4"/>
        <x:v>0.07343939393939403</x:v>
      </x:c>
    </x:row>
    <x:row r="40">
      <x:c r="A40" s="24" t="n">
        <x:v>32</x:v>
      </x:c>
      <x:c r="B40" s="25" t="str">
        <x:v>台北市</x:v>
      </x:c>
      <x:c r="C40" s="25" t="str">
        <x:v>松山區</x:v>
      </x:c>
      <x:c r="D40" s="26" t="str">
        <x:v>捷運南京三民站(4號出口)</x:v>
      </x:c>
      <x:c r="E40" s="27" t="n">
        <x:v>256.8</x:v>
      </x:c>
      <x:c r="F40" s="27" t="n">
        <x:v>289.6</x:v>
      </x:c>
      <x:c r="G40" s="27" t="n">
        <x:f t="shared" si="0"/>
        <x:v>32.80000000000001</x:v>
      </x:c>
      <x:c r="H40" s="28" t="n">
        <x:f t="shared" si="1"/>
        <x:v>0.12772585669781936</x:v>
      </x:c>
      <x:c r="I40" s="28" t="n">
        <x:v>0.786826767676768</x:v>
      </x:c>
      <x:c r="J40" s="28" t="n">
        <x:v>0.764997777777778</x:v>
      </x:c>
      <x:c r="K40" s="28" t="n">
        <x:f t="shared" si="2"/>
        <x:v>-0.02182898989898996</x:v>
      </x:c>
      <x:c r="L40" s="28" t="n">
        <x:v>0.94469696969697</x:v>
      </x:c>
      <x:c r="M40" s="28" t="n">
        <x:v>0.941106666666667</x:v>
      </x:c>
      <x:c r="N40" s="28" t="n">
        <x:f t="shared" si="3"/>
        <x:v>-0.0035903030303030548</x:v>
      </x:c>
      <x:c r="O40" s="28" t="n">
        <x:v>0.820206060606061</x:v>
      </x:c>
      <x:c r="P40" s="28" t="n">
        <x:v>0.669986666666667</x:v>
      </x:c>
      <x:c r="Q40" s="28" t="n">
        <x:f t="shared" si="4"/>
        <x:v>-0.1502193939393941</x:v>
      </x:c>
    </x:row>
    <x:row r="41">
      <x:c r="A41" s="19" t="n">
        <x:v>33</x:v>
      </x:c>
      <x:c r="B41" s="20" t="str">
        <x:v>台北市</x:v>
      </x:c>
      <x:c r="C41" s="20" t="str">
        <x:v>中正區</x:v>
      </x:c>
      <x:c r="D41" s="21" t="str">
        <x:v>羅斯福路四段108巷口</x:v>
      </x:c>
      <x:c r="E41" s="22" t="n">
        <x:v>450.7</x:v>
      </x:c>
      <x:c r="F41" s="22" t="n">
        <x:v>479.6</x:v>
      </x:c>
      <x:c r="G41" s="22" t="n">
        <x:f t="shared" ref="G41:G72" si="5">IF(OR(E41="",F41=""),"",F41-E41)</x:f>
        <x:v>28.900000000000034</x:v>
      </x:c>
      <x:c r="H41" s="23" t="n">
        <x:f t="shared" ref="H41:H72" si="6">IF(OR(E41="",F41="",E41=0),"",(F41-E41)/E41)</x:f>
        <x:v>0.06412247614821397</x:v>
      </x:c>
      <x:c r="I41" s="23" t="n">
        <x:v>0.868183585858586</x:v>
      </x:c>
      <x:c r="J41" s="23" t="n">
        <x:v>0.967405555555556</x:v>
      </x:c>
      <x:c r="K41" s="23" t="n">
        <x:f t="shared" ref="K41:K72" si="7">IF(OR(I41="",J41=""),"",J41-I41)</x:f>
        <x:v>0.09922196969696995</x:v>
      </x:c>
      <x:c r="L41" s="23" t="n">
        <x:v>0.858334848484849</x:v>
      </x:c>
      <x:c r="M41" s="23" t="n">
        <x:v>0.998886666666667</x:v>
      </x:c>
      <x:c r="N41" s="23" t="n">
        <x:f t="shared" ref="N41:N72" si="8">IF(OR(L41="",M41=""),"",M41-L41)</x:f>
        <x:v>0.14055181818181806</x:v>
      </x:c>
      <x:c r="O41" s="23" t="n">
        <x:v>0.948486363636364</x:v>
      </x:c>
      <x:c r="P41" s="23" t="n">
        <x:v>1</x:v>
      </x:c>
      <x:c r="Q41" s="23" t="n">
        <x:f t="shared" ref="Q41:Q72" si="9">IF(OR(O41="",P41=""),"",P41-O41)</x:f>
        <x:v>0.05151363636363604</x:v>
      </x:c>
    </x:row>
    <x:row r="42">
      <x:c r="A42" s="24" t="n">
        <x:v>34</x:v>
      </x:c>
      <x:c r="B42" s="25" t="str">
        <x:v>台北市</x:v>
      </x:c>
      <x:c r="C42" s="25" t="str">
        <x:v>內湖區</x:v>
      </x:c>
      <x:c r="D42" s="26" t="str">
        <x:v>瑞湖陽光街口</x:v>
      </x:c>
      <x:c r="E42" s="27" t="n">
        <x:v>218.3</x:v>
      </x:c>
      <x:c r="F42" s="27" t="n">
        <x:v>246.8</x:v>
      </x:c>
      <x:c r="G42" s="27" t="n">
        <x:f t="shared" si="5"/>
        <x:v>28.5</x:v>
      </x:c>
      <x:c r="H42" s="28" t="n">
        <x:f t="shared" si="6"/>
        <x:v>0.13055428309665598</x:v>
      </x:c>
      <x:c r="I42" s="28" t="n">
        <x:v>0.820369949494949</x:v>
      </x:c>
      <x:c r="J42" s="28" t="n">
        <x:v>0.763886666666667</x:v>
      </x:c>
      <x:c r="K42" s="28" t="n">
        <x:f t="shared" si="7"/>
        <x:v>-0.05648328282828197</x:v>
      </x:c>
      <x:c r="L42" s="28" t="n">
        <x:v>0.956565151515152</x:v>
      </x:c>
      <x:c r="M42" s="28" t="n">
        <x:v>0.993333333333333</x:v>
      </x:c>
      <x:c r="N42" s="28" t="n">
        <x:f t="shared" si="8"/>
        <x:v>0.03676818181818098</x:v>
      </x:c>
      <x:c r="O42" s="28" t="n">
        <x:v>0.564143939393939</x:v>
      </x:c>
      <x:c r="P42" s="28" t="n">
        <x:v>0.405553333333333</x:v>
      </x:c>
      <x:c r="Q42" s="28" t="n">
        <x:f t="shared" si="9"/>
        <x:v>-0.15859060606060604</x:v>
      </x:c>
    </x:row>
    <x:row r="43">
      <x:c r="A43" s="19" t="n">
        <x:v>35</x:v>
      </x:c>
      <x:c r="B43" s="20" t="str">
        <x:v>台北市</x:v>
      </x:c>
      <x:c r="C43" s="20" t="str">
        <x:v>信義區</x:v>
      </x:c>
      <x:c r="D43" s="21" t="str">
        <x:v>信義松智路口(東南側)</x:v>
      </x:c>
      <x:c r="E43" s="22" t="n">
        <x:v>203</x:v>
      </x:c>
      <x:c r="F43" s="22" t="n">
        <x:v>230.4</x:v>
      </x:c>
      <x:c r="G43" s="22" t="n">
        <x:f t="shared" si="5"/>
        <x:v>27.400000000000006</x:v>
      </x:c>
      <x:c r="H43" s="23" t="n">
        <x:f t="shared" si="6"/>
        <x:v>0.1349753694581281</x:v>
      </x:c>
      <x:c r="I43" s="23" t="n">
        <x:v>0.882491919191919</x:v>
      </x:c>
      <x:c r="J43" s="23" t="n">
        <x:v>0.834258888888889</x:v>
      </x:c>
      <x:c r="K43" s="23" t="n">
        <x:f t="shared" si="7"/>
        <x:v>-0.048233030303030056</x:v>
      </x:c>
      <x:c r="L43" s="23" t="n">
        <x:v>0.995707575757576</x:v>
      </x:c>
      <x:c r="M43" s="23" t="n">
        <x:v>1</x:v>
      </x:c>
      <x:c r="N43" s="23" t="n">
        <x:f t="shared" si="8"/>
        <x:v>0.004292424242424042</x:v>
      </x:c>
      <x:c r="O43" s="23" t="n">
        <x:v>0.903536363636364</x:v>
      </x:c>
      <x:c r="P43" s="23" t="n">
        <x:v>0.836673333333333</x:v>
      </x:c>
      <x:c r="Q43" s="23" t="n">
        <x:f t="shared" si="9"/>
        <x:v>-0.06686303030303098</x:v>
      </x:c>
    </x:row>
    <x:row r="44">
      <x:c r="A44" s="24" t="n">
        <x:v>36</x:v>
      </x:c>
      <x:c r="B44" s="25" t="str">
        <x:v>台北市</x:v>
      </x:c>
      <x:c r="C44" s="25" t="str">
        <x:v>信義區</x:v>
      </x:c>
      <x:c r="D44" s="26" t="str">
        <x:v>捷運象山站(1號出口)</x:v>
      </x:c>
      <x:c r="E44" s="27" t="n">
        <x:v>253.9</x:v>
      </x:c>
      <x:c r="F44" s="27" t="n">
        <x:v>280.8</x:v>
      </x:c>
      <x:c r="G44" s="27" t="n">
        <x:f t="shared" si="5"/>
        <x:v>26.900000000000006</x:v>
      </x:c>
      <x:c r="H44" s="28" t="n">
        <x:f t="shared" si="6"/>
        <x:v>0.10594722331626627</x:v>
      </x:c>
      <x:c r="I44" s="28" t="n">
        <x:v>0.856186363636364</x:v>
      </x:c>
      <x:c r="J44" s="28" t="n">
        <x:v>0.82778</x:v>
      </x:c>
      <x:c r="K44" s="28" t="n">
        <x:f t="shared" si="7"/>
        <x:v>-0.028406363636364063</x:v>
      </x:c>
      <x:c r="L44" s="28" t="n">
        <x:v>0.913383333333333</x:v>
      </x:c>
      <x:c r="M44" s="28" t="n">
        <x:v>0.795553333333333</x:v>
      </x:c>
      <x:c r="N44" s="28" t="n">
        <x:f t="shared" si="8"/>
        <x:v>-0.11782999999999999</x:v>
      </x:c>
      <x:c r="O44" s="28" t="n">
        <x:v>0.931313636363636</x:v>
      </x:c>
      <x:c r="P44" s="28" t="n">
        <x:v>0.954446666666667</x:v>
      </x:c>
      <x:c r="Q44" s="28" t="n">
        <x:f t="shared" si="9"/>
        <x:v>0.023133030303031044</x:v>
      </x:c>
    </x:row>
    <x:row r="45">
      <x:c r="A45" s="19" t="n">
        <x:v>37</x:v>
      </x:c>
      <x:c r="B45" s="20" t="str">
        <x:v>台北市</x:v>
      </x:c>
      <x:c r="C45" s="20" t="str">
        <x:v>中正區</x:v>
      </x:c>
      <x:c r="D45" s="21" t="str">
        <x:v>捷運公館站(1號出口)</x:v>
      </x:c>
      <x:c r="E45" s="22" t="n">
        <x:v>334.1</x:v>
      </x:c>
      <x:c r="F45" s="22" t="n">
        <x:v>359.4</x:v>
      </x:c>
      <x:c r="G45" s="22" t="n">
        <x:f t="shared" si="5"/>
        <x:v>25.299999999999955</x:v>
      </x:c>
      <x:c r="H45" s="23" t="n">
        <x:f t="shared" si="6"/>
        <x:v>0.07572583058964368</x:v>
      </x:c>
      <x:c r="I45" s="23" t="n">
        <x:v>0.792675</x:v>
      </x:c>
      <x:c r="J45" s="23" t="n">
        <x:v>0.837776666666667</x:v>
      </x:c>
      <x:c r="K45" s="23" t="n">
        <x:f t="shared" si="7"/>
        <x:v>0.04510166666666693</x:v>
      </x:c>
      <x:c r="L45" s="23" t="n">
        <x:v>0.661107575757576</x:v>
      </x:c>
      <x:c r="M45" s="23" t="n">
        <x:v>0.794446666666667</x:v>
      </x:c>
      <x:c r="N45" s="23" t="n">
        <x:f t="shared" si="8"/>
        <x:v>0.13333909090909102</x:v>
      </x:c>
      <x:c r="O45" s="23" t="n">
        <x:v>0.941668181818182</x:v>
      </x:c>
      <x:c r="P45" s="23" t="n">
        <x:v>0.991106666666667</x:v>
      </x:c>
      <x:c r="Q45" s="23" t="n">
        <x:f t="shared" si="9"/>
        <x:v>0.04943848484848501</x:v>
      </x:c>
    </x:row>
    <x:row r="46">
      <x:c r="A46" s="24" t="n">
        <x:v>38</x:v>
      </x:c>
      <x:c r="B46" s="25" t="str">
        <x:v>台北市</x:v>
      </x:c>
      <x:c r="C46" s="25" t="str">
        <x:v>大安區</x:v>
      </x:c>
      <x:c r="D46" s="26" t="str">
        <x:v>復興南路二段273號前</x:v>
      </x:c>
      <x:c r="E46" s="27" t="n">
        <x:v>298.5</x:v>
      </x:c>
      <x:c r="F46" s="27" t="n">
        <x:v>322.6</x:v>
      </x:c>
      <x:c r="G46" s="27" t="n">
        <x:f t="shared" si="5"/>
        <x:v>24.100000000000023</x:v>
      </x:c>
      <x:c r="H46" s="28" t="n">
        <x:f t="shared" si="6"/>
        <x:v>0.08073701842546072</x:v>
      </x:c>
      <x:c r="I46" s="28" t="n">
        <x:v>0.798947727272727</x:v>
      </x:c>
      <x:c r="J46" s="28" t="n">
        <x:v>0.923332222222222</x:v>
      </x:c>
      <x:c r="K46" s="28" t="n">
        <x:f t="shared" si="7"/>
        <x:v>0.124384494949495</x:v>
      </x:c>
      <x:c r="L46" s="28" t="n">
        <x:v>0.682077272727273</x:v>
      </x:c>
      <x:c r="M46" s="28" t="n">
        <x:v>0.868893333333333</x:v>
      </x:c>
      <x:c r="N46" s="28" t="n">
        <x:f t="shared" si="8"/>
        <x:v>0.18681606060605993</x:v>
      </x:c>
      <x:c r="O46" s="28" t="n">
        <x:v>0.95934393939394</x:v>
      </x:c>
      <x:c r="P46" s="28" t="n">
        <x:v>0.988886666666667</x:v>
      </x:c>
      <x:c r="Q46" s="28" t="n">
        <x:f t="shared" si="9"/>
        <x:v>0.029542727272727</x:v>
      </x:c>
    </x:row>
    <x:row r="47">
      <x:c r="A47" s="19" t="n">
        <x:v>39</x:v>
      </x:c>
      <x:c r="B47" s="20" t="str">
        <x:v>台北市</x:v>
      </x:c>
      <x:c r="C47" s="20" t="str">
        <x:v>大安區</x:v>
      </x:c>
      <x:c r="D47" s="21" t="str">
        <x:v>復興南路二段280號前</x:v>
      </x:c>
      <x:c r="E47" s="22" t="n">
        <x:v>213.7</x:v>
      </x:c>
      <x:c r="F47" s="22" t="n">
        <x:v>232.2</x:v>
      </x:c>
      <x:c r="G47" s="22" t="n">
        <x:f t="shared" si="5"/>
        <x:v>18.5</x:v>
      </x:c>
      <x:c r="H47" s="23" t="n">
        <x:f t="shared" si="6"/>
        <x:v>0.08656995788488536</x:v>
      </x:c>
      <x:c r="I47" s="23" t="n">
        <x:v>0.863300252525253</x:v>
      </x:c>
      <x:c r="J47" s="23" t="n">
        <x:v>0.942221111111111</x:v>
      </x:c>
      <x:c r="K47" s="23" t="n">
        <x:f t="shared" si="7"/>
        <x:v>0.07892085858585796</x:v>
      </x:c>
      <x:c r="L47" s="23" t="n">
        <x:v>0.86994696969697</x:v>
      </x:c>
      <x:c r="M47" s="23" t="n">
        <x:v>0.89</x:v>
      </x:c>
      <x:c r="N47" s="23" t="n">
        <x:f t="shared" si="8"/>
        <x:v>0.02005303030302996</x:v>
      </x:c>
      <x:c r="O47" s="23" t="n">
        <x:v>0.97525303030303</x:v>
      </x:c>
      <x:c r="P47" s="23" t="n">
        <x:v>1</x:v>
      </x:c>
      <x:c r="Q47" s="23" t="n">
        <x:f t="shared" si="9"/>
        <x:v>0.02474696969696999</x:v>
      </x:c>
    </x:row>
    <x:row r="48">
      <x:c r="A48" s="24" t="n">
        <x:v>40</x:v>
      </x:c>
      <x:c r="B48" s="25" t="str">
        <x:v>台北市</x:v>
      </x:c>
      <x:c r="C48" s="25" t="str">
        <x:v>中正區</x:v>
      </x:c>
      <x:c r="D48" s="26" t="str">
        <x:v>捷運公館站(4號出口)</x:v>
      </x:c>
      <x:c r="E48" s="27" t="n">
        <x:v>304.6</x:v>
      </x:c>
      <x:c r="F48" s="27" t="n">
        <x:v>322.8</x:v>
      </x:c>
      <x:c r="G48" s="27" t="n">
        <x:f t="shared" si="5"/>
        <x:v>18.19999999999999</x:v>
      </x:c>
      <x:c r="H48" s="28" t="n">
        <x:f t="shared" si="6"/>
        <x:v>0.05975049244911355</x:v>
      </x:c>
      <x:c r="I48" s="28" t="n">
        <x:v>0.854461111111111</x:v>
      </x:c>
      <x:c r="J48" s="28" t="n">
        <x:v>0.89815</x:v>
      </x:c>
      <x:c r="K48" s="28" t="n">
        <x:f t="shared" si="7"/>
        <x:v>0.043688888888889</x:v>
      </x:c>
      <x:c r="L48" s="28" t="n">
        <x:v>0.722728787878788</x:v>
      </x:c>
      <x:c r="M48" s="28" t="n">
        <x:v>0.918886666666667</x:v>
      </x:c>
      <x:c r="N48" s="28" t="n">
        <x:f t="shared" si="8"/>
        <x:v>0.19615787878787894</x:v>
      </x:c>
      <x:c r="O48" s="28" t="n">
        <x:v>0.992675757575758</x:v>
      </x:c>
      <x:c r="P48" s="28" t="n">
        <x:v>0.99444</x:v>
      </x:c>
      <x:c r="Q48" s="28" t="n">
        <x:f t="shared" si="9"/>
        <x:v>0.0017642424242420018</x:v>
      </x:c>
    </x:row>
    <x:row r="49">
      <x:c r="A49" s="19" t="n">
        <x:v>41</x:v>
      </x:c>
      <x:c r="B49" s="20" t="str">
        <x:v>台北市</x:v>
      </x:c>
      <x:c r="C49" s="20" t="str">
        <x:v>大安區</x:v>
      </x:c>
      <x:c r="D49" s="21" t="str">
        <x:v>捷運臺電大樓站(2號出口)_1</x:v>
      </x:c>
      <x:c r="E49" s="22" t="n">
        <x:v>260.1</x:v>
      </x:c>
      <x:c r="F49" s="22" t="n">
        <x:v>277.4</x:v>
      </x:c>
      <x:c r="G49" s="22" t="n">
        <x:f t="shared" si="5"/>
        <x:v>17.299999999999955</x:v>
      </x:c>
      <x:c r="H49" s="23" t="n">
        <x:f t="shared" si="6"/>
        <x:v>0.06651287966166841</x:v>
      </x:c>
      <x:c r="I49" s="23" t="n">
        <x:v>0.884512373737374</x:v>
      </x:c>
      <x:c r="J49" s="23" t="n">
        <x:v>0.905922222222222</x:v>
      </x:c>
      <x:c r="K49" s="23" t="n">
        <x:f t="shared" si="7"/>
        <x:v>0.02140984848484795</x:v>
      </x:c>
      <x:c r="L49" s="23" t="n">
        <x:v>0.786365151515151</x:v>
      </x:c>
      <x:c r="M49" s="23" t="n">
        <x:v>0.915553333333333</x:v>
      </x:c>
      <x:c r="N49" s="23" t="n">
        <x:f t="shared" si="8"/>
        <x:v>0.12918818181818204</x:v>
      </x:c>
      <x:c r="O49" s="23" t="n">
        <x:v>0.995707575757576</x:v>
      </x:c>
      <x:c r="P49" s="23" t="n">
        <x:v>0.971106666666667</x:v>
      </x:c>
      <x:c r="Q49" s="23" t="n">
        <x:f t="shared" si="9"/>
        <x:v>-0.02460090909090895</x:v>
      </x:c>
    </x:row>
    <x:row r="50">
      <x:c r="A50" s="24" t="n">
        <x:v>42</x:v>
      </x:c>
      <x:c r="B50" s="25" t="str">
        <x:v>台北市</x:v>
      </x:c>
      <x:c r="C50" s="25" t="str">
        <x:v>內湖區</x:v>
      </x:c>
      <x:c r="D50" s="26" t="str">
        <x:v>捷運港墘站(2號出口)</x:v>
      </x:c>
      <x:c r="E50" s="27" t="n">
        <x:v>284.2</x:v>
      </x:c>
      <x:c r="F50" s="27" t="n">
        <x:v>300.8</x:v>
      </x:c>
      <x:c r="G50" s="27" t="n">
        <x:f t="shared" si="5"/>
        <x:v>16.600000000000023</x:v>
      </x:c>
      <x:c r="H50" s="28" t="n">
        <x:f t="shared" si="6"/>
        <x:v>0.05840957072484174</x:v>
      </x:c>
      <x:c r="I50" s="28" t="n">
        <x:v>0.854206565656566</x:v>
      </x:c>
      <x:c r="J50" s="28" t="n">
        <x:v>0.845554444444445</x:v>
      </x:c>
      <x:c r="K50" s="28" t="n">
        <x:f t="shared" si="7"/>
        <x:v>-0.008652121212121</x:v>
      </x:c>
      <x:c r="L50" s="28" t="n">
        <x:v>0.7154</x:v>
      </x:c>
      <x:c r="M50" s="28" t="n">
        <x:v>0.512226666666667</x:v>
      </x:c>
      <x:c r="N50" s="28" t="n">
        <x:f t="shared" si="8"/>
        <x:v>-0.20317333333333298</x:v>
      </x:c>
      <x:c r="O50" s="28" t="n">
        <x:v>0.998231818181818</x:v>
      </x:c>
      <x:c r="P50" s="28" t="n">
        <x:v>1</x:v>
      </x:c>
      <x:c r="Q50" s="28" t="n">
        <x:f t="shared" si="9"/>
        <x:v>0.0017681818181819464</x:v>
      </x:c>
    </x:row>
    <x:row r="51">
      <x:c r="A51" s="19" t="n">
        <x:v>43</x:v>
      </x:c>
      <x:c r="B51" s="20" t="str">
        <x:v>台北市</x:v>
      </x:c>
      <x:c r="C51" s="20" t="str">
        <x:v>大安區</x:v>
      </x:c>
      <x:c r="D51" s="21" t="str">
        <x:v>新生南路三段66號前</x:v>
      </x:c>
      <x:c r="E51" s="22" t="n">
        <x:v>217.1</x:v>
      </x:c>
      <x:c r="F51" s="22" t="n">
        <x:v>229.8</x:v>
      </x:c>
      <x:c r="G51" s="22" t="n">
        <x:f t="shared" si="5"/>
        <x:v>12.700000000000017</x:v>
      </x:c>
      <x:c r="H51" s="23" t="n">
        <x:f t="shared" si="6"/>
        <x:v>0.05849838783970528</x:v>
      </x:c>
      <x:c r="I51" s="23" t="n">
        <x:v>0.859890656565657</x:v>
      </x:c>
      <x:c r="J51" s="23" t="n">
        <x:v>0.970741111111111</x:v>
      </x:c>
      <x:c r="K51" s="23" t="n">
        <x:f t="shared" si="7"/>
        <x:v>0.11085045454545406</x:v>
      </x:c>
      <x:c r="L51" s="23" t="n">
        <x:v>0.714140909090909</x:v>
      </x:c>
      <x:c r="M51" s="23" t="n">
        <x:v>1</x:v>
      </x:c>
      <x:c r="N51" s="23" t="n">
        <x:f t="shared" si="8"/>
        <x:v>0.285859090909091</x:v>
      </x:c>
      <x:c r="O51" s="23" t="n">
        <x:v>0.992675757575758</x:v>
      </x:c>
      <x:c r="P51" s="23" t="n">
        <x:v>1</x:v>
      </x:c>
      <x:c r="Q51" s="23" t="n">
        <x:f t="shared" si="9"/>
        <x:v>0.007324242424242011</x:v>
      </x:c>
    </x:row>
    <x:row r="52">
      <x:c r="A52" s="24" t="n">
        <x:v>44</x:v>
      </x:c>
      <x:c r="B52" s="25" t="str">
        <x:v>台北市</x:v>
      </x:c>
      <x:c r="C52" s="25" t="str">
        <x:v>大安區</x:v>
      </x:c>
      <x:c r="D52" s="26" t="str">
        <x:v>捷運公館站(3號出口)</x:v>
      </x:c>
      <x:c r="E52" s="27" t="n">
        <x:v>766.2</x:v>
      </x:c>
      <x:c r="F52" s="27" t="n">
        <x:v>772.8</x:v>
      </x:c>
      <x:c r="G52" s="27" t="n">
        <x:f t="shared" si="5"/>
        <x:v>6.599999999999909</x:v>
      </x:c>
      <x:c r="H52" s="28" t="n">
        <x:f t="shared" si="6"/>
        <x:v>0.008613938919342088</x:v>
      </x:c>
      <x:c r="I52" s="28" t="n">
        <x:v>0.866625757575758</x:v>
      </x:c>
      <x:c r="J52" s="28" t="n">
        <x:v>0.930741111111111</x:v>
      </x:c>
      <x:c r="K52" s="28" t="n">
        <x:f t="shared" si="7"/>
        <x:v>0.06411535353535303</x:v>
      </x:c>
      <x:c r="L52" s="28" t="n">
        <x:v>0.711616666666667</x:v>
      </x:c>
      <x:c r="M52" s="28" t="n">
        <x:v>0.881113333333333</x:v>
      </x:c>
      <x:c r="N52" s="28" t="n">
        <x:f t="shared" si="8"/>
        <x:v>0.16949666666666596</x:v>
      </x:c>
      <x:c r="O52" s="28" t="n">
        <x:v>1</x:v>
      </x:c>
      <x:c r="P52" s="28" t="n">
        <x:v>1</x:v>
      </x:c>
      <x:c r="Q52" s="28" t="n">
        <x:f t="shared" si="9"/>
        <x:v>0</x:v>
      </x:c>
    </x:row>
    <x:row r="53">
      <x:c r="A53" s="19" t="n">
        <x:v>45</x:v>
      </x:c>
      <x:c r="B53" s="20" t="str">
        <x:v>台北市</x:v>
      </x:c>
      <x:c r="C53" s="20" t="str">
        <x:v>大安區</x:v>
      </x:c>
      <x:c r="D53" s="21" t="str">
        <x:v>新生南路三段82號前</x:v>
      </x:c>
      <x:c r="E53" s="22" t="n">
        <x:v>325.6</x:v>
      </x:c>
      <x:c r="F53" s="22" t="n">
        <x:v>330.6</x:v>
      </x:c>
      <x:c r="G53" s="22" t="n">
        <x:f t="shared" si="5"/>
        <x:v>5</x:v>
      </x:c>
      <x:c r="H53" s="23" t="n">
        <x:f t="shared" si="6"/>
        <x:v>0.015356265356265355</x:v>
      </x:c>
      <x:c r="I53" s="23" t="n">
        <x:v>0.856649242424243</x:v>
      </x:c>
      <x:c r="J53" s="23" t="n">
        <x:v>0.929261111111111</x:v>
      </x:c>
      <x:c r="K53" s="23" t="n">
        <x:f t="shared" si="7"/>
        <x:v>0.07261186868686798</x:v>
      </x:c>
      <x:c r="L53" s="23" t="n">
        <x:v>0.676513636363636</x:v>
      </x:c>
      <x:c r="M53" s="23" t="n">
        <x:v>0.926666666666667</x:v>
      </x:c>
      <x:c r="N53" s="23" t="n">
        <x:f t="shared" si="8"/>
        <x:v>0.25015303030303093</x:v>
      </x:c>
      <x:c r="O53" s="23" t="n">
        <x:v>0.996463636363636</x:v>
      </x:c>
      <x:c r="P53" s="23" t="n">
        <x:v>0.99</x:v>
      </x:c>
      <x:c r="Q53" s="23" t="n">
        <x:f t="shared" si="9"/>
        <x:v>-0.006463636363636005</x:v>
      </x:c>
    </x:row>
    <x:row r="54">
      <x:c r="A54" s="24" t="n">
        <x:v>46</x:v>
      </x:c>
      <x:c r="B54" s="25" t="str">
        <x:v>台北市</x:v>
      </x:c>
      <x:c r="C54" s="25" t="str">
        <x:v>大安區</x:v>
      </x:c>
      <x:c r="D54" s="26" t="str">
        <x:v>新生南路三段94巷口</x:v>
      </x:c>
      <x:c r="E54" s="27" t="n">
        <x:v>278.8</x:v>
      </x:c>
      <x:c r="F54" s="27" t="n">
        <x:v>279.4</x:v>
      </x:c>
      <x:c r="G54" s="27" t="n">
        <x:f t="shared" si="5"/>
        <x:v>0.5999999999999659</x:v>
      </x:c>
      <x:c r="H54" s="28" t="n">
        <x:f t="shared" si="6"/>
        <x:v>0.0021520803443327327</x:v>
      </x:c>
      <x:c r="I54" s="28" t="n">
        <x:v>0.879376767676768</x:v>
      </x:c>
      <x:c r="J54" s="28" t="n">
        <x:v>0.964443333333333</x:v>
      </x:c>
      <x:c r="K54" s="28" t="n">
        <x:f t="shared" si="7"/>
        <x:v>0.08506656565656501</x:v>
      </x:c>
      <x:c r="L54" s="28" t="n">
        <x:v>0.751262121212121</x:v>
      </x:c>
      <x:c r="M54" s="28" t="n">
        <x:v>0.98778</x:v>
      </x:c>
      <x:c r="N54" s="28" t="n">
        <x:f t="shared" si="8"/>
        <x:v>0.236517878787879</x:v>
      </x:c>
      <x:c r="O54" s="28" t="n">
        <x:v>0.997222727272727</x:v>
      </x:c>
      <x:c r="P54" s="28" t="n">
        <x:v>1</x:v>
      </x:c>
      <x:c r="Q54" s="28" t="n">
        <x:f t="shared" si="9"/>
        <x:v>0.002777272727273017</x:v>
      </x:c>
    </x:row>
    <x:row r="55">
      <x:c r="A55" s="19" t="n">
        <x:v>47</x:v>
      </x:c>
      <x:c r="B55" s="20" t="str">
        <x:v>台北市</x:v>
      </x:c>
      <x:c r="C55" s="20" t="str">
        <x:v>大安區</x:v>
      </x:c>
      <x:c r="D55" s="21" t="str">
        <x:v>臺大動物醫院前</x:v>
      </x:c>
      <x:c r="E55" s="22" t="n">
        <x:v>208.6</x:v>
      </x:c>
      <x:c r="F55" s="22" t="n">
        <x:v>199.2</x:v>
      </x:c>
      <x:c r="G55" s="22" t="n">
        <x:f t="shared" si="5"/>
        <x:v>-9.400000000000006</x:v>
      </x:c>
      <x:c r="H55" s="23" t="n">
        <x:f t="shared" si="6"/>
        <x:v>-0.04506232023010549</x:v>
      </x:c>
      <x:c r="I55" s="23" t="n">
        <x:v>0.808375252525252</x:v>
      </x:c>
      <x:c r="J55" s="23" t="n">
        <x:v>0.865552222222222</x:v>
      </x:c>
      <x:c r="K55" s="23" t="n">
        <x:f t="shared" si="7"/>
        <x:v>0.05717696969696995</x:v>
      </x:c>
      <x:c r="L55" s="23" t="n">
        <x:v>0.997727272727273</x:v>
      </x:c>
      <x:c r="M55" s="23" t="n">
        <x:v>1</x:v>
      </x:c>
      <x:c r="N55" s="23" t="n">
        <x:f t="shared" si="8"/>
        <x:v>0.002272727272726982</x:v>
      </x:c>
      <x:c r="O55" s="23" t="n">
        <x:v>0.530809090909091</x:v>
      </x:c>
      <x:c r="P55" s="23" t="n">
        <x:v>0.64888</x:v>
      </x:c>
      <x:c r="Q55" s="23" t="n">
        <x:f t="shared" si="9"/>
        <x:v>0.118070909090909</x:v>
      </x:c>
    </x:row>
    <x:row r="56">
      <x:c r="A56" s="24" t="n">
        <x:v>48</x:v>
      </x:c>
      <x:c r="B56" s="25" t="str">
        <x:v>台北市</x:v>
      </x:c>
      <x:c r="C56" s="25" t="str">
        <x:v>大安區</x:v>
      </x:c>
      <x:c r="D56" s="26" t="str">
        <x:v>基隆長興路口東側</x:v>
      </x:c>
      <x:c r="E56" s="27" t="n">
        <x:v>273.8</x:v>
      </x:c>
      <x:c r="F56" s="27" t="n">
        <x:v>264</x:v>
      </x:c>
      <x:c r="G56" s="27" t="n">
        <x:f t="shared" si="5"/>
        <x:v>-9.800000000000011</x:v>
      </x:c>
      <x:c r="H56" s="28" t="n">
        <x:f t="shared" si="6"/>
        <x:v>-0.03579254930606286</x:v>
      </x:c>
      <x:c r="I56" s="28" t="n">
        <x:v>0.822853282828283</x:v>
      </x:c>
      <x:c r="J56" s="28" t="n">
        <x:v>0.823151111111111</x:v>
      </x:c>
      <x:c r="K56" s="28" t="n">
        <x:f t="shared" si="7"/>
        <x:v>0.00029782828282798324</x:v>
      </x:c>
      <x:c r="L56" s="28" t="n">
        <x:v>0.898231818181818</x:v>
      </x:c>
      <x:c r="M56" s="28" t="n">
        <x:v>0.902226666666667</x:v>
      </x:c>
      <x:c r="N56" s="28" t="n">
        <x:f t="shared" si="8"/>
        <x:v>0.00399484848484899</x:v>
      </x:c>
      <x:c r="O56" s="28" t="n">
        <x:v>0.754043939393939</x:v>
      </x:c>
      <x:c r="P56" s="28" t="n">
        <x:v>0.75778</x:v>
      </x:c>
      <x:c r="Q56" s="28" t="n">
        <x:f t="shared" si="9"/>
        <x:v>0.00373606060606102</x:v>
      </x:c>
    </x:row>
    <x:row r="57">
      <x:c r="A57" s="19" t="n">
        <x:v>49</x:v>
      </x:c>
      <x:c r="B57" s="20" t="str">
        <x:v>台北市</x:v>
      </x:c>
      <x:c r="C57" s="20" t="str">
        <x:v>大安區</x:v>
      </x:c>
      <x:c r="D57" s="21" t="str">
        <x:v>臺大男七舍前</x:v>
      </x:c>
      <x:c r="E57" s="22" t="n">
        <x:v>270.9</x:v>
      </x:c>
      <x:c r="F57" s="22" t="n">
        <x:v>247.2</x:v>
      </x:c>
      <x:c r="G57" s="22" t="n">
        <x:f t="shared" si="5"/>
        <x:v>-23.69999999999999</x:v>
      </x:c>
      <x:c r="H57" s="23" t="n">
        <x:f t="shared" si="6"/>
        <x:v>-0.08748615725359908</x:v>
      </x:c>
      <x:c r="I57" s="23" t="n">
        <x:v>0.879546212121212</x:v>
      </x:c>
      <x:c r="J57" s="23" t="n">
        <x:v>0.989628888888889</x:v>
      </x:c>
      <x:c r="K57" s="23" t="n">
        <x:f t="shared" si="7"/>
        <x:v>0.11008267676767702</x:v>
      </x:c>
      <x:c r="L57" s="23" t="n">
        <x:v>0.977019696969697</x:v>
      </x:c>
      <x:c r="M57" s="23" t="n">
        <x:v>1</x:v>
      </x:c>
      <x:c r="N57" s="23" t="n">
        <x:f t="shared" si="8"/>
        <x:v>0.022980303030302962</x:v>
      </x:c>
      <x:c r="O57" s="23" t="n">
        <x:v>0.684345454545455</x:v>
      </x:c>
      <x:c r="P57" s="23" t="n">
        <x:v>0.947773333333333</x:v>
      </x:c>
      <x:c r="Q57" s="23" t="n">
        <x:f t="shared" si="9"/>
        <x:v>0.263427878787878</x:v>
      </x:c>
    </x:row>
    <x:row r="58">
      <x:c r="A58" s="24" t="n">
        <x:v>50</x:v>
      </x:c>
      <x:c r="B58" s="25" t="str">
        <x:v>台北市</x:v>
      </x:c>
      <x:c r="C58" s="25" t="str">
        <x:v>大安區</x:v>
      </x:c>
      <x:c r="D58" s="26" t="str">
        <x:v>臺科大側門(基隆路四段73巷)</x:v>
      </x:c>
      <x:c r="E58" s="27" t="n">
        <x:v>242.8</x:v>
      </x:c>
      <x:c r="F58" s="27" t="n">
        <x:v>196.4</x:v>
      </x:c>
      <x:c r="G58" s="27" t="n">
        <x:f t="shared" si="5"/>
        <x:v>-46.400000000000006</x:v>
      </x:c>
      <x:c r="H58" s="28" t="n">
        <x:f t="shared" si="6"/>
        <x:v>-0.19110378912685339</x:v>
      </x:c>
      <x:c r="I58" s="28" t="n">
        <x:v>0.851221717171717</x:v>
      </x:c>
      <x:c r="J58" s="28" t="n">
        <x:v>0.866108888888889</x:v>
      </x:c>
      <x:c r="K58" s="28" t="n">
        <x:f t="shared" si="7"/>
        <x:v>0.01488717171717202</x:v>
      </x:c>
      <x:c r="L58" s="28" t="n">
        <x:v>1</x:v>
      </x:c>
      <x:c r="M58" s="28" t="n">
        <x:v>1</x:v>
      </x:c>
      <x:c r="N58" s="28" t="n">
        <x:f t="shared" si="8"/>
        <x:v>0</x:v>
      </x:c>
      <x:c r="O58" s="28" t="n">
        <x:v>0.689651515151515</x:v>
      </x:c>
      <x:c r="P58" s="28" t="n">
        <x:v>0.5811</x:v>
      </x:c>
      <x:c r="Q58" s="28" t="n">
        <x:f t="shared" si="9"/>
        <x:v>-0.10855151515151507</x:v>
      </x:c>
    </x:row>
    <x:row r="59">
      <x:c r="A59" s="19" t="n">
        <x:v>51</x:v>
      </x:c>
      <x:c r="B59" s="20" t="str">
        <x:v>台北市</x:v>
      </x:c>
      <x:c r="C59" s="20" t="str">
        <x:v>大安區</x:v>
      </x:c>
      <x:c r="D59" s="21" t="str">
        <x:v>羅斯福新生南路口</x:v>
      </x:c>
      <x:c r="E59" s="22" t="n">
        <x:v>529.1</x:v>
      </x:c>
      <x:c r="F59" s="22" t="n">
        <x:v>464.6</x:v>
      </x:c>
      <x:c r="G59" s="22" t="n">
        <x:f t="shared" si="5"/>
        <x:v>-64.5</x:v>
      </x:c>
      <x:c r="H59" s="23" t="n">
        <x:f t="shared" si="6"/>
        <x:v>-0.1219051219051219</x:v>
      </x:c>
      <x:c r="I59" s="23" t="n">
        <x:v>0.860690404040404</x:v>
      </x:c>
      <x:c r="J59" s="23" t="n">
        <x:v>0.874997777777778</x:v>
      </x:c>
      <x:c r="K59" s="23" t="n">
        <x:f t="shared" si="7"/>
        <x:v>0.014307373737374007</x:v>
      </x:c>
      <x:c r="L59" s="23" t="n">
        <x:v>0.7149</x:v>
      </x:c>
      <x:c r="M59" s="23" t="n">
        <x:v>0.799993333333333</x:v>
      </x:c>
      <x:c r="N59" s="23" t="n">
        <x:f t="shared" si="8"/>
        <x:v>0.08509333333333302</x:v>
      </x:c>
      <x:c r="O59" s="23" t="n">
        <x:v>0.954545454545455</x:v>
      </x:c>
      <x:c r="P59" s="23" t="n">
        <x:v>1</x:v>
      </x:c>
      <x:c r="Q59" s="23" t="n">
        <x:f t="shared" si="9"/>
        <x:v>0.04545454545454497</x:v>
      </x:c>
    </x:row>
    <x:row r="60">
      <x:c r="A60" s="24" t="n">
        <x:v>52</x:v>
      </x:c>
      <x:c r="B60" s="25" t="str">
        <x:v>台北市</x:v>
      </x:c>
      <x:c r="C60" s="25" t="str">
        <x:v>大安區</x:v>
      </x:c>
      <x:c r="D60" s="26" t="str">
        <x:v>臺大資訊大樓</x:v>
      </x:c>
      <x:c r="E60" s="27" t="n">
        <x:v>271.9</x:v>
      </x:c>
      <x:c r="F60" s="27" t="n">
        <x:v>206.6</x:v>
      </x:c>
      <x:c r="G60" s="27" t="n">
        <x:f t="shared" si="5"/>
        <x:v>-65.29999999999998</x:v>
      </x:c>
      <x:c r="H60" s="28" t="n">
        <x:f t="shared" si="6"/>
        <x:v>-0.2401618242000735</x:v>
      </x:c>
      <x:c r="I60" s="28" t="n">
        <x:v>0.867087373737374</x:v>
      </x:c>
      <x:c r="J60" s="28" t="n">
        <x:v>0.944444444444444</x:v>
      </x:c>
      <x:c r="K60" s="28" t="n">
        <x:f t="shared" si="7"/>
        <x:v>0.07735707070706999</x:v>
      </x:c>
      <x:c r="L60" s="28" t="n">
        <x:v>0.99974696969697</x:v>
      </x:c>
      <x:c r="M60" s="28" t="n">
        <x:v>1</x:v>
      </x:c>
      <x:c r="N60" s="28" t="n">
        <x:f t="shared" si="8"/>
        <x:v>0.00025303030303003293</x:v>
      </x:c>
      <x:c r="O60" s="28" t="n">
        <x:v>0.874492424242424</x:v>
      </x:c>
      <x:c r="P60" s="28" t="n">
        <x:v>0.95222</x:v>
      </x:c>
      <x:c r="Q60" s="28" t="n">
        <x:f t="shared" si="9"/>
        <x:v>0.07772757575757594</x:v>
      </x:c>
    </x:row>
    <x:row r="61">
      <x:c r="A61" s="19" t="n">
        <x:v>53</x:v>
      </x:c>
      <x:c r="B61" s="20" t="str">
        <x:v>台北市</x:v>
      </x:c>
      <x:c r="C61" s="20" t="str">
        <x:v>大安區</x:v>
      </x:c>
      <x:c r="D61" s="21" t="str">
        <x:v>臺大社科院圖書館前</x:v>
      </x:c>
      <x:c r="E61" s="22" t="n">
        <x:v>253.6</x:v>
      </x:c>
      <x:c r="F61" s="22" t="n">
        <x:v>179.6</x:v>
      </x:c>
      <x:c r="G61" s="22" t="n">
        <x:f t="shared" si="5"/>
        <x:v>-74</x:v>
      </x:c>
      <x:c r="H61" s="23" t="n">
        <x:f t="shared" si="6"/>
        <x:v>-0.2917981072555205</x:v>
      </x:c>
      <x:c r="I61" s="23" t="n">
        <x:v>0.814435858585859</x:v>
      </x:c>
      <x:c r="J61" s="23" t="n">
        <x:v>0.976112222222222</x:v>
      </x:c>
      <x:c r="K61" s="23" t="n">
        <x:f t="shared" si="7"/>
        <x:v>0.16167636363636306</x:v>
      </x:c>
      <x:c r="L61" s="23" t="n">
        <x:v>0.91994696969697</x:v>
      </x:c>
      <x:c r="M61" s="23" t="n">
        <x:v>0.996666666666667</x:v>
      </x:c>
      <x:c r="N61" s="23" t="n">
        <x:f t="shared" si="8"/>
        <x:v>0.07671969696969705</x:v>
      </x:c>
      <x:c r="O61" s="23" t="n">
        <x:v>0.760862121212121</x:v>
      </x:c>
      <x:c r="P61" s="23" t="n">
        <x:v>1</x:v>
      </x:c>
      <x:c r="Q61" s="23" t="n">
        <x:f t="shared" si="9"/>
        <x:v>0.23913787878787895</x:v>
      </x:c>
    </x:row>
    <x:row r="62">
      <x:c r="A62" s="24" t="n">
        <x:v>54</x:v>
      </x:c>
      <x:c r="B62" s="25" t="str">
        <x:v>台北市</x:v>
      </x:c>
      <x:c r="C62" s="25" t="str">
        <x:v>大安區</x:v>
      </x:c>
      <x:c r="D62" s="26" t="str">
        <x:v>臺大男六舍前</x:v>
      </x:c>
      <x:c r="E62" s="27" t="n">
        <x:v>320.4</x:v>
      </x:c>
      <x:c r="F62" s="27" t="n">
        <x:v>240.2</x:v>
      </x:c>
      <x:c r="G62" s="27" t="n">
        <x:f t="shared" si="5"/>
        <x:v>-80.19999999999999</x:v>
      </x:c>
      <x:c r="H62" s="28" t="n">
        <x:f t="shared" si="6"/>
        <x:v>-0.25031210986267166</x:v>
      </x:c>
      <x:c r="I62" s="28" t="n">
        <x:v>0.85450303030303</x:v>
      </x:c>
      <x:c r="J62" s="28" t="n">
        <x:v>0.939072222222222</x:v>
      </x:c>
      <x:c r="K62" s="28" t="n">
        <x:f t="shared" si="7"/>
        <x:v>0.08456919191919199</x:v>
      </x:c>
      <x:c r="L62" s="28" t="n">
        <x:v>0.935356060606061</x:v>
      </x:c>
      <x:c r="M62" s="28" t="n">
        <x:v>0.998886666666667</x:v>
      </x:c>
      <x:c r="N62" s="28" t="n">
        <x:f t="shared" si="8"/>
        <x:v>0.06353060606060601</x:v>
      </x:c>
      <x:c r="O62" s="28" t="n">
        <x:v>0.805554545454545</x:v>
      </x:c>
      <x:c r="P62" s="28" t="n">
        <x:v>0.907773333333333</x:v>
      </x:c>
      <x:c r="Q62" s="28" t="n">
        <x:f t="shared" si="9"/>
        <x:v>0.10221878787878802</x:v>
      </x:c>
    </x:row>
    <x:row r="63">
      <x:c r="A63" s="19" t="n">
        <x:v>55</x:v>
      </x:c>
      <x:c r="B63" s="20" t="str">
        <x:v>新北市</x:v>
      </x:c>
      <x:c r="C63" s="20" t="str">
        <x:v>板橋區</x:v>
      </x:c>
      <x:c r="D63" s="21" t="str">
        <x:v>亞東醫院</x:v>
      </x:c>
      <x:c r="E63" s="22" t="n">
        <x:v>453.5</x:v>
      </x:c>
      <x:c r="F63" s="22" t="n">
        <x:v>642.6</x:v>
      </x:c>
      <x:c r="G63" s="22" t="n">
        <x:f t="shared" si="5"/>
        <x:v>189.10000000000002</x:v>
      </x:c>
      <x:c r="H63" s="23" t="n">
        <x:f t="shared" si="6"/>
        <x:v>0.41697905181918415</x:v>
      </x:c>
      <x:c r="I63" s="23" t="n">
        <x:v>0.854924494949495</x:v>
      </x:c>
      <x:c r="J63" s="23" t="n">
        <x:v>0.862964444444444</x:v>
      </x:c>
      <x:c r="K63" s="23" t="n">
        <x:f t="shared" si="7"/>
        <x:v>0.008039949494949017</x:v>
      </x:c>
      <x:c r="L63" s="23" t="n">
        <x:v>1</x:v>
      </x:c>
      <x:c r="M63" s="23" t="n">
        <x:v>1</x:v>
      </x:c>
      <x:c r="N63" s="23" t="n">
        <x:f t="shared" si="8"/>
        <x:v>0</x:v>
      </x:c>
      <x:c r="O63" s="23" t="n">
        <x:v>0.824245454545455</x:v>
      </x:c>
      <x:c r="P63" s="23" t="n">
        <x:v>0.934446666666667</x:v>
      </x:c>
      <x:c r="Q63" s="23" t="n">
        <x:f t="shared" si="9"/>
        <x:v>0.11020121212121203</x:v>
      </x:c>
    </x:row>
    <x:row r="64">
      <x:c r="A64" s="24" t="n">
        <x:v>56</x:v>
      </x:c>
      <x:c r="B64" s="25" t="str">
        <x:v>新北市</x:v>
      </x:c>
      <x:c r="C64" s="25" t="str">
        <x:v>永和區</x:v>
      </x:c>
      <x:c r="D64" s="26" t="str">
        <x:v>捷運頂溪站(中興街)</x:v>
      </x:c>
      <x:c r="E64" s="27" t="n">
        <x:v>709</x:v>
      </x:c>
      <x:c r="F64" s="27" t="n">
        <x:v>829.4</x:v>
      </x:c>
      <x:c r="G64" s="27" t="n">
        <x:f t="shared" si="5"/>
        <x:v>120.39999999999998</x:v>
      </x:c>
      <x:c r="H64" s="28" t="n">
        <x:f t="shared" si="6"/>
        <x:v>0.1698166431593794</x:v>
      </x:c>
      <x:c r="I64" s="28" t="n">
        <x:v>0.884678282828283</x:v>
      </x:c>
      <x:c r="J64" s="28" t="n">
        <x:v>0.861847777777778</x:v>
      </x:c>
      <x:c r="K64" s="28" t="n">
        <x:f t="shared" si="7"/>
        <x:v>-0.02283050505050499</x:v>
      </x:c>
      <x:c r="L64" s="28" t="n">
        <x:v>1</x:v>
      </x:c>
      <x:c r="M64" s="28" t="n">
        <x:v>1</x:v>
      </x:c>
      <x:c r="N64" s="28" t="n">
        <x:f t="shared" si="8"/>
        <x:v>0</x:v>
      </x:c>
      <x:c r="O64" s="28" t="n">
        <x:v>0.833333333333333</x:v>
      </x:c>
      <x:c r="P64" s="28" t="n">
        <x:v>0.82332</x:v>
      </x:c>
      <x:c r="Q64" s="28" t="n">
        <x:f t="shared" si="9"/>
        <x:v>-0.010013333333332985</x:v>
      </x:c>
    </x:row>
    <x:row r="65">
      <x:c r="A65" s="19" t="n">
        <x:v>57</x:v>
      </x:c>
      <x:c r="B65" s="20" t="str">
        <x:v>新北市</x:v>
      </x:c>
      <x:c r="C65" s="20" t="str">
        <x:v>林口區</x:v>
      </x:c>
      <x:c r="D65" s="21" t="str">
        <x:v>捷運林口站(1號出口)</x:v>
      </x:c>
      <x:c r="E65" s="22" t="n">
        <x:v>304.8</x:v>
      </x:c>
      <x:c r="F65" s="22" t="n">
        <x:v>415.8</x:v>
      </x:c>
      <x:c r="G65" s="22" t="n">
        <x:f t="shared" si="5"/>
        <x:v>111</x:v>
      </x:c>
      <x:c r="H65" s="23" t="n">
        <x:f t="shared" si="6"/>
        <x:v>0.36417322834645666</x:v>
      </x:c>
      <x:c r="I65" s="23" t="n">
        <x:v>0.897222222222222</x:v>
      </x:c>
      <x:c r="J65" s="23" t="n">
        <x:v>0.964074444444445</x:v>
      </x:c>
      <x:c r="K65" s="23" t="n">
        <x:f t="shared" si="7"/>
        <x:v>0.06685222222222298</x:v>
      </x:c>
      <x:c r="L65" s="23" t="n">
        <x:v>1</x:v>
      </x:c>
      <x:c r="M65" s="23" t="n">
        <x:v>1</x:v>
      </x:c>
      <x:c r="N65" s="23" t="n">
        <x:f t="shared" si="8"/>
        <x:v>0</x:v>
      </x:c>
      <x:c r="O65" s="23" t="n">
        <x:v>0.753280303030303</x:v>
      </x:c>
      <x:c r="P65" s="23" t="n">
        <x:v>0.89556</x:v>
      </x:c>
      <x:c r="Q65" s="23" t="n">
        <x:f t="shared" si="9"/>
        <x:v>0.142279696969697</x:v>
      </x:c>
    </x:row>
    <x:row r="66">
      <x:c r="A66" s="24" t="n">
        <x:v>58</x:v>
      </x:c>
      <x:c r="B66" s="25" t="str">
        <x:v>新北市</x:v>
      </x:c>
      <x:c r="C66" s="25" t="str">
        <x:v>土城區</x:v>
      </x:c>
      <x:c r="D66" s="26" t="str">
        <x:v>捷運海山站(2號出口)</x:v>
      </x:c>
      <x:c r="E66" s="27" t="n">
        <x:v>310.1</x:v>
      </x:c>
      <x:c r="F66" s="27" t="n">
        <x:v>419.2</x:v>
      </x:c>
      <x:c r="G66" s="27" t="n">
        <x:f t="shared" si="5"/>
        <x:v>109.09999999999997</x:v>
      </x:c>
      <x:c r="H66" s="28" t="n">
        <x:f t="shared" si="6"/>
        <x:v>0.3518219929055142</x:v>
      </x:c>
      <x:c r="I66" s="28" t="n">
        <x:v>0.889730555555556</x:v>
      </x:c>
      <x:c r="J66" s="28" t="n">
        <x:v>0.90537</x:v>
      </x:c>
      <x:c r="K66" s="28" t="n">
        <x:f t="shared" si="7"/>
        <x:v>0.015639444444443984</x:v>
      </x:c>
      <x:c r="L66" s="28" t="n">
        <x:v>0.994948484848485</x:v>
      </x:c>
      <x:c r="M66" s="28" t="n">
        <x:v>1</x:v>
      </x:c>
      <x:c r="N66" s="28" t="n">
        <x:f t="shared" si="8"/>
        <x:v>0.005051515151515029</x:v>
      </x:c>
      <x:c r="O66" s="28" t="n">
        <x:v>0.978028787878788</x:v>
      </x:c>
      <x:c r="P66" s="28" t="n">
        <x:v>0.937773333333333</x:v>
      </x:c>
      <x:c r="Q66" s="28" t="n">
        <x:f t="shared" si="9"/>
        <x:v>-0.04025545454545498</x:v>
      </x:c>
    </x:row>
    <x:row r="67">
      <x:c r="A67" s="19" t="n">
        <x:v>59</x:v>
      </x:c>
      <x:c r="B67" s="20" t="str">
        <x:v>新北市</x:v>
      </x:c>
      <x:c r="C67" s="20" t="str">
        <x:v>新店區</x:v>
      </x:c>
      <x:c r="D67" s="21" t="str">
        <x:v>捷運大坪林站(1號出口)</x:v>
      </x:c>
      <x:c r="E67" s="22" t="n">
        <x:v>577</x:v>
      </x:c>
      <x:c r="F67" s="22" t="n">
        <x:v>684.6</x:v>
      </x:c>
      <x:c r="G67" s="22" t="n">
        <x:f t="shared" si="5"/>
        <x:v>107.60000000000002</x:v>
      </x:c>
      <x:c r="H67" s="23" t="n">
        <x:f t="shared" si="6"/>
        <x:v>0.18648180242634319</x:v>
      </x:c>
      <x:c r="I67" s="23" t="n">
        <x:v>0.829460858585859</x:v>
      </x:c>
      <x:c r="J67" s="23" t="n">
        <x:v>0.854077777777778</x:v>
      </x:c>
      <x:c r="K67" s="23" t="n">
        <x:f t="shared" si="7"/>
        <x:v>0.024616919191918996</x:v>
      </x:c>
      <x:c r="L67" s="23" t="n">
        <x:v>0.937118181818182</x:v>
      </x:c>
      <x:c r="M67" s="23" t="n">
        <x:v>0.91112</x:v>
      </x:c>
      <x:c r="N67" s="23" t="n">
        <x:f t="shared" si="8"/>
        <x:v>-0.02599818181818192</x:v>
      </x:c>
      <x:c r="O67" s="23" t="n">
        <x:v>0.828280303030303</x:v>
      </x:c>
      <x:c r="P67" s="23" t="n">
        <x:v>0.914446666666667</x:v>
      </x:c>
      <x:c r="Q67" s="23" t="n">
        <x:f t="shared" si="9"/>
        <x:v>0.08616636363636399</x:v>
      </x:c>
    </x:row>
    <x:row r="68">
      <x:c r="A68" s="24" t="n">
        <x:v>60</x:v>
      </x:c>
      <x:c r="B68" s="25" t="str">
        <x:v>新北市</x:v>
      </x:c>
      <x:c r="C68" s="25" t="str">
        <x:v>新店區</x:v>
      </x:c>
      <x:c r="D68" s="26" t="str">
        <x:v>捷運十四張站</x:v>
      </x:c>
      <x:c r="E68" s="27" t="n">
        <x:v>518.3</x:v>
      </x:c>
      <x:c r="F68" s="27" t="n">
        <x:v>625</x:v>
      </x:c>
      <x:c r="G68" s="27" t="n">
        <x:f t="shared" si="5"/>
        <x:v>106.70000000000005</x:v>
      </x:c>
      <x:c r="H68" s="28" t="n">
        <x:f t="shared" si="6"/>
        <x:v>0.20586532896006185</x:v>
      </x:c>
      <x:c r="I68" s="28" t="n">
        <x:v>0.863761616161616</x:v>
      </x:c>
      <x:c r="J68" s="28" t="n">
        <x:v>0.966112222222222</x:v>
      </x:c>
      <x:c r="K68" s="28" t="n">
        <x:f t="shared" si="7"/>
        <x:v>0.10235060606060609</x:v>
      </x:c>
      <x:c r="L68" s="28" t="n">
        <x:v>0.936616666666667</x:v>
      </x:c>
      <x:c r="M68" s="28" t="n">
        <x:v>0.984446666666667</x:v>
      </x:c>
      <x:c r="N68" s="28" t="n">
        <x:f t="shared" si="8"/>
        <x:v>0.04783000000000004</x:v>
      </x:c>
      <x:c r="O68" s="28" t="n">
        <x:v>0.800001515151515</x:v>
      </x:c>
      <x:c r="P68" s="28" t="n">
        <x:v>0.971113333333333</x:v>
      </x:c>
      <x:c r="Q68" s="28" t="n">
        <x:f t="shared" si="9"/>
        <x:v>0.1711118181818181</x:v>
      </x:c>
    </x:row>
    <x:row r="69">
      <x:c r="A69" s="19" t="n">
        <x:v>61</x:v>
      </x:c>
      <x:c r="B69" s="20" t="str">
        <x:v>新北市</x:v>
      </x:c>
      <x:c r="C69" s="20" t="str">
        <x:v>板橋區</x:v>
      </x:c>
      <x:c r="D69" s="21" t="str">
        <x:v>板橋四維公園</x:v>
      </x:c>
      <x:c r="E69" s="22" t="n">
        <x:v>304.1</x:v>
      </x:c>
      <x:c r="F69" s="22" t="n">
        <x:v>409.2</x:v>
      </x:c>
      <x:c r="G69" s="22" t="n">
        <x:f t="shared" si="5"/>
        <x:v>105.09999999999997</x:v>
      </x:c>
      <x:c r="H69" s="23" t="n">
        <x:f t="shared" si="6"/>
        <x:v>0.34560999671160786</x:v>
      </x:c>
      <x:c r="I69" s="23" t="n">
        <x:v>0.886196212121212</x:v>
      </x:c>
      <x:c r="J69" s="23" t="n">
        <x:v>0.839815555555555</x:v>
      </x:c>
      <x:c r="K69" s="23" t="n">
        <x:f t="shared" si="7"/>
        <x:v>-0.04638065656565704</x:v>
      </x:c>
      <x:c r="L69" s="23" t="n">
        <x:v>0.639140909090909</x:v>
      </x:c>
      <x:c r="M69" s="23" t="n">
        <x:v>0.510006666666667</x:v>
      </x:c>
      <x:c r="N69" s="23" t="n">
        <x:f t="shared" si="8"/>
        <x:v>-0.12913424242424199</x:v>
      </x:c>
      <x:c r="O69" s="23" t="n">
        <x:v>1</x:v>
      </x:c>
      <x:c r="P69" s="23" t="n">
        <x:v>0.98222</x:v>
      </x:c>
      <x:c r="Q69" s="23" t="n">
        <x:f t="shared" si="9"/>
        <x:v>-0.017780000000000018</x:v>
      </x:c>
    </x:row>
    <x:row r="70">
      <x:c r="A70" s="24" t="n">
        <x:v>62</x:v>
      </x:c>
      <x:c r="B70" s="25" t="str">
        <x:v>新北市</x:v>
      </x:c>
      <x:c r="C70" s="25" t="str">
        <x:v>新莊區</x:v>
      </x:c>
      <x:c r="D70" s="26" t="str">
        <x:v>捷運新北產業園區站</x:v>
      </x:c>
      <x:c r="E70" s="27" t="n">
        <x:v>517.9</x:v>
      </x:c>
      <x:c r="F70" s="27" t="n">
        <x:v>618.8</x:v>
      </x:c>
      <x:c r="G70" s="27" t="n">
        <x:f t="shared" si="5"/>
        <x:v>100.89999999999998</x:v>
      </x:c>
      <x:c r="H70" s="28" t="n">
        <x:f t="shared" si="6"/>
        <x:v>0.19482525584089588</x:v>
      </x:c>
      <x:c r="I70" s="28" t="n">
        <x:v>0.898693939393939</x:v>
      </x:c>
      <x:c r="J70" s="28" t="n">
        <x:v>0.887222222222222</x:v>
      </x:c>
      <x:c r="K70" s="28" t="n">
        <x:f t="shared" si="7"/>
        <x:v>-0.011471717171717022</x:v>
      </x:c>
      <x:c r="L70" s="28" t="n">
        <x:v>0.959595454545455</x:v>
      </x:c>
      <x:c r="M70" s="28" t="n">
        <x:v>0.926666666666667</x:v>
      </x:c>
      <x:c r="N70" s="28" t="n">
        <x:f t="shared" si="8"/>
        <x:v>-0.03292878787878806</x:v>
      </x:c>
      <x:c r="O70" s="28" t="n">
        <x:v>0.848734848484849</x:v>
      </x:c>
      <x:c r="P70" s="28" t="n">
        <x:v>0.84444</x:v>
      </x:c>
      <x:c r="Q70" s="28" t="n">
        <x:f t="shared" si="9"/>
        <x:v>-0.0042948484848490676</x:v>
      </x:c>
    </x:row>
    <x:row r="71">
      <x:c r="A71" s="19" t="n">
        <x:v>63</x:v>
      </x:c>
      <x:c r="B71" s="20" t="str">
        <x:v>新北市</x:v>
      </x:c>
      <x:c r="C71" s="20" t="str">
        <x:v>新店區</x:v>
      </x:c>
      <x:c r="D71" s="21" t="str">
        <x:v>中正民權路口</x:v>
      </x:c>
      <x:c r="E71" s="22" t="n">
        <x:v>372.3</x:v>
      </x:c>
      <x:c r="F71" s="22" t="n">
        <x:v>471.4</x:v>
      </x:c>
      <x:c r="G71" s="22" t="n">
        <x:f t="shared" si="5"/>
        <x:v>99.09999999999997</x:v>
      </x:c>
      <x:c r="H71" s="23" t="n">
        <x:f t="shared" si="6"/>
        <x:v>0.26618318560300824</x:v>
      </x:c>
      <x:c r="I71" s="23" t="n">
        <x:v>0.86460404040404</x:v>
      </x:c>
      <x:c r="J71" s="23" t="n">
        <x:v>0.931851111111111</x:v>
      </x:c>
      <x:c r="K71" s="23" t="n">
        <x:f t="shared" si="7"/>
        <x:v>0.06724707070707092</x:v>
      </x:c>
      <x:c r="L71" s="23" t="n">
        <x:v>1</x:v>
      </x:c>
      <x:c r="M71" s="23" t="n">
        <x:v>1</x:v>
      </x:c>
      <x:c r="N71" s="23" t="n">
        <x:f t="shared" si="8"/>
        <x:v>0</x:v>
      </x:c>
      <x:c r="O71" s="23" t="n">
        <x:v>0.61969696969697</x:v>
      </x:c>
      <x:c r="P71" s="23" t="n">
        <x:v>0.863333333333333</x:v>
      </x:c>
      <x:c r="Q71" s="23" t="n">
        <x:f t="shared" si="9"/>
        <x:v>0.24363636363636298</x:v>
      </x:c>
    </x:row>
    <x:row r="72">
      <x:c r="A72" s="24" t="n">
        <x:v>64</x:v>
      </x:c>
      <x:c r="B72" s="25" t="str">
        <x:v>新北市</x:v>
      </x:c>
      <x:c r="C72" s="25" t="str">
        <x:v>板橋區</x:v>
      </x:c>
      <x:c r="D72" s="26" t="str">
        <x:v>新北市藝文中心</x:v>
      </x:c>
      <x:c r="E72" s="27" t="n">
        <x:v>211.7</x:v>
      </x:c>
      <x:c r="F72" s="27" t="n">
        <x:v>308.8</x:v>
      </x:c>
      <x:c r="G72" s="27" t="n">
        <x:f t="shared" si="5"/>
        <x:v>97.10000000000002</x:v>
      </x:c>
      <x:c r="H72" s="28" t="n">
        <x:f t="shared" si="6"/>
        <x:v>0.4586679263108173</x:v>
      </x:c>
      <x:c r="I72" s="28" t="n">
        <x:v>0.880091666666667</x:v>
      </x:c>
      <x:c r="J72" s="28" t="n">
        <x:v>0.906108888888889</x:v>
      </x:c>
      <x:c r="K72" s="28" t="n">
        <x:f t="shared" si="7"/>
        <x:v>0.026017222222221914</x:v>
      </x:c>
      <x:c r="L72" s="28" t="n">
        <x:v>0.723736363636364</x:v>
      </x:c>
      <x:c r="M72" s="28" t="n">
        <x:v>0.853333333333333</x:v>
      </x:c>
      <x:c r="N72" s="28" t="n">
        <x:f t="shared" si="8"/>
        <x:v>0.1295969696969691</x:v>
      </x:c>
      <x:c r="O72" s="28" t="n">
        <x:v>0.990151515151515</x:v>
      </x:c>
      <x:c r="P72" s="28" t="n">
        <x:v>0.941106666666667</x:v>
      </x:c>
      <x:c r="Q72" s="28" t="n">
        <x:f t="shared" si="9"/>
        <x:v>-0.049044848484848025</x:v>
      </x:c>
    </x:row>
    <x:row r="73">
      <x:c r="A73" s="19" t="n">
        <x:v>65</x:v>
      </x:c>
      <x:c r="B73" s="20" t="str">
        <x:v>新北市</x:v>
      </x:c>
      <x:c r="C73" s="20" t="str">
        <x:v>新莊區</x:v>
      </x:c>
      <x:c r="D73" s="21" t="str">
        <x:v>新莊田徑場</x:v>
      </x:c>
      <x:c r="E73" s="22" t="n">
        <x:v>207.5</x:v>
      </x:c>
      <x:c r="F73" s="22" t="n">
        <x:v>301</x:v>
      </x:c>
      <x:c r="G73" s="22" t="n">
        <x:f t="shared" ref="G73:G104" si="10">IF(OR(E73="",F73=""),"",F73-E73)</x:f>
        <x:v>93.5</x:v>
      </x:c>
      <x:c r="H73" s="23" t="n">
        <x:f t="shared" ref="H73:H104" si="11">IF(OR(E73="",F73="",E73=0),"",(F73-E73)/E73)</x:f>
        <x:v>0.4506024096385542</x:v>
      </x:c>
      <x:c r="I73" s="23" t="n">
        <x:v>0.859595707070707</x:v>
      </x:c>
      <x:c r="J73" s="23" t="n">
        <x:v>0.966851111111111</x:v>
      </x:c>
      <x:c r="K73" s="23" t="n">
        <x:f t="shared" ref="K73:K104" si="12">IF(OR(I73="",J73=""),"",J73-I73)</x:f>
        <x:v>0.10725540404040401</x:v>
      </x:c>
      <x:c r="L73" s="23" t="n">
        <x:v>0.585606060606061</x:v>
      </x:c>
      <x:c r="M73" s="23" t="n">
        <x:v>0.875553333333333</x:v>
      </x:c>
      <x:c r="N73" s="23" t="n">
        <x:f t="shared" ref="N73:N104" si="13">IF(OR(L73="",M73=""),"",M73-L73)</x:f>
        <x:v>0.28994727272727194</x:v>
      </x:c>
      <x:c r="O73" s="23" t="n">
        <x:v>0.971716666666667</x:v>
      </x:c>
      <x:c r="P73" s="23" t="n">
        <x:v>1</x:v>
      </x:c>
      <x:c r="Q73" s="23" t="n">
        <x:f t="shared" ref="Q73:Q104" si="14">IF(OR(O73="",P73=""),"",P73-O73)</x:f>
        <x:v>0.028283333333332994</x:v>
      </x:c>
    </x:row>
    <x:row r="74">
      <x:c r="A74" s="24" t="n">
        <x:v>66</x:v>
      </x:c>
      <x:c r="B74" s="25" t="str">
        <x:v>新北市</x:v>
      </x:c>
      <x:c r="C74" s="25" t="str">
        <x:v>板橋區</x:v>
      </x:c>
      <x:c r="D74" s="26" t="str">
        <x:v>新北市政府(新站路)</x:v>
      </x:c>
      <x:c r="E74" s="27" t="n">
        <x:v>358.3</x:v>
      </x:c>
      <x:c r="F74" s="27" t="n">
        <x:v>439.8</x:v>
      </x:c>
      <x:c r="G74" s="27" t="n">
        <x:f t="shared" si="10"/>
        <x:v>81.5</x:v>
      </x:c>
      <x:c r="H74" s="28" t="n">
        <x:f t="shared" si="11"/>
        <x:v>0.2274630198157968</x:v>
      </x:c>
      <x:c r="I74" s="28" t="n">
        <x:v>0.853367424242424</x:v>
      </x:c>
      <x:c r="J74" s="28" t="n">
        <x:v>0.910371111111111</x:v>
      </x:c>
      <x:c r="K74" s="28" t="n">
        <x:f t="shared" si="12"/>
        <x:v>0.057003686868687065</x:v>
      </x:c>
      <x:c r="L74" s="28" t="n">
        <x:v>1</x:v>
      </x:c>
      <x:c r="M74" s="28" t="n">
        <x:v>1</x:v>
      </x:c>
      <x:c r="N74" s="28" t="n">
        <x:f t="shared" si="13"/>
        <x:v>0</x:v>
      </x:c>
      <x:c r="O74" s="28" t="n">
        <x:v>0.907072727272727</x:v>
      </x:c>
      <x:c r="P74" s="28" t="n">
        <x:v>0.95222</x:v>
      </x:c>
      <x:c r="Q74" s="28" t="n">
        <x:f t="shared" si="14"/>
        <x:v>0.045147272727272925</x:v>
      </x:c>
    </x:row>
    <x:row r="75">
      <x:c r="A75" s="19" t="n">
        <x:v>67</x:v>
      </x:c>
      <x:c r="B75" s="20" t="str">
        <x:v>新北市</x:v>
      </x:c>
      <x:c r="C75" s="20" t="str">
        <x:v>板橋區</x:v>
      </x:c>
      <x:c r="D75" s="21" t="str">
        <x:v>捷運江子翠站(6號出口)</x:v>
      </x:c>
      <x:c r="E75" s="22" t="n">
        <x:v>206.6</x:v>
      </x:c>
      <x:c r="F75" s="22" t="n">
        <x:v>284.4</x:v>
      </x:c>
      <x:c r="G75" s="22" t="n">
        <x:f t="shared" si="10"/>
        <x:v>77.79999999999998</x:v>
      </x:c>
      <x:c r="H75" s="23" t="n">
        <x:f t="shared" si="11"/>
        <x:v>0.3765730880929331</x:v>
      </x:c>
      <x:c r="I75" s="23" t="n">
        <x:v>0.791624747474748</x:v>
      </x:c>
      <x:c r="J75" s="23" t="n">
        <x:v>0.78722</x:v>
      </x:c>
      <x:c r="K75" s="23" t="n">
        <x:f t="shared" si="12"/>
        <x:v>-0.00440474747474795</x:v>
      </x:c>
      <x:c r="L75" s="23" t="n">
        <x:v>1</x:v>
      </x:c>
      <x:c r="M75" s="23" t="n">
        <x:v>1</x:v>
      </x:c>
      <x:c r="N75" s="23" t="n">
        <x:f t="shared" si="13"/>
        <x:v>0</x:v>
      </x:c>
      <x:c r="O75" s="23" t="n">
        <x:v>0.645959090909091</x:v>
      </x:c>
      <x:c r="P75" s="23" t="n">
        <x:v>0.679993333333333</x:v>
      </x:c>
      <x:c r="Q75" s="23" t="n">
        <x:f t="shared" si="14"/>
        <x:v>0.03403424242424202</x:v>
      </x:c>
    </x:row>
    <x:row r="76">
      <x:c r="A76" s="24" t="n">
        <x:v>68</x:v>
      </x:c>
      <x:c r="B76" s="25" t="str">
        <x:v>新北市</x:v>
      </x:c>
      <x:c r="C76" s="25" t="str">
        <x:v>板橋區</x:v>
      </x:c>
      <x:c r="D76" s="26" t="str">
        <x:v>文德新海路口</x:v>
      </x:c>
      <x:c r="E76" s="27" t="n">
        <x:v>233.4</x:v>
      </x:c>
      <x:c r="F76" s="27" t="n">
        <x:v>308.8</x:v>
      </x:c>
      <x:c r="G76" s="27" t="n">
        <x:f t="shared" si="10"/>
        <x:v>75.4</x:v>
      </x:c>
      <x:c r="H76" s="28" t="n">
        <x:f t="shared" si="11"/>
        <x:v>0.32305055698371893</x:v>
      </x:c>
      <x:c r="I76" s="28" t="n">
        <x:v>0.814014898989899</x:v>
      </x:c>
      <x:c r="J76" s="28" t="n">
        <x:v>0.807035555555556</x:v>
      </x:c>
      <x:c r="K76" s="28" t="n">
        <x:f t="shared" si="12"/>
        <x:v>-0.006979343434343033</x:v>
      </x:c>
      <x:c r="L76" s="28" t="n">
        <x:v>0.577018181818182</x:v>
      </x:c>
      <x:c r="M76" s="28" t="n">
        <x:v>0.379993333333333</x:v>
      </x:c>
      <x:c r="N76" s="28" t="n">
        <x:f t="shared" si="13"/>
        <x:v>-0.19702484848484897</x:v>
      </x:c>
      <x:c r="O76" s="28" t="n">
        <x:v>0.923987878787879</x:v>
      </x:c>
      <x:c r="P76" s="28" t="n">
        <x:v>0.97666</x:v>
      </x:c>
      <x:c r="Q76" s="28" t="n">
        <x:f t="shared" si="14"/>
        <x:v>0.05267212121212095</x:v>
      </x:c>
    </x:row>
    <x:row r="77">
      <x:c r="A77" s="19" t="n">
        <x:v>69</x:v>
      </x:c>
      <x:c r="B77" s="20" t="str">
        <x:v>新北市</x:v>
      </x:c>
      <x:c r="C77" s="20" t="str">
        <x:v>板橋區</x:v>
      </x:c>
      <x:c r="D77" s="21" t="str">
        <x:v>捷運府中站(3號出口)</x:v>
      </x:c>
      <x:c r="E77" s="22" t="n">
        <x:v>586</x:v>
      </x:c>
      <x:c r="F77" s="22" t="n">
        <x:v>661</x:v>
      </x:c>
      <x:c r="G77" s="22" t="n">
        <x:f t="shared" si="10"/>
        <x:v>75</x:v>
      </x:c>
      <x:c r="H77" s="23" t="n">
        <x:f t="shared" si="11"/>
        <x:v>0.12798634812286688</x:v>
      </x:c>
      <x:c r="I77" s="23" t="n">
        <x:v>0.850588888888889</x:v>
      </x:c>
      <x:c r="J77" s="23" t="n">
        <x:v>0.832405555555556</x:v>
      </x:c>
      <x:c r="K77" s="23" t="n">
        <x:f t="shared" si="12"/>
        <x:v>-0.018183333333332996</x:v>
      </x:c>
      <x:c r="L77" s="23" t="n">
        <x:v>0.998737878787879</x:v>
      </x:c>
      <x:c r="M77" s="23" t="n">
        <x:v>1</x:v>
      </x:c>
      <x:c r="N77" s="23" t="n">
        <x:f t="shared" si="13"/>
        <x:v>0.0012621212121209924</x:v>
      </x:c>
      <x:c r="O77" s="23" t="n">
        <x:v>0.869193939393939</x:v>
      </x:c>
      <x:c r="P77" s="23" t="n">
        <x:v>0.807773333333333</x:v>
      </x:c>
      <x:c r="Q77" s="23" t="n">
        <x:f t="shared" si="14"/>
        <x:v>-0.06142060606060595</x:v>
      </x:c>
    </x:row>
    <x:row r="78">
      <x:c r="A78" s="24" t="n">
        <x:v>70</x:v>
      </x:c>
      <x:c r="B78" s="25" t="str">
        <x:v>新北市</x:v>
      </x:c>
      <x:c r="C78" s="25" t="str">
        <x:v>新莊區</x:v>
      </x:c>
      <x:c r="D78" s="26" t="str">
        <x:v>捷運新莊站(2號出口)</x:v>
      </x:c>
      <x:c r="E78" s="27" t="n">
        <x:v>355.5</x:v>
      </x:c>
      <x:c r="F78" s="27" t="n">
        <x:v>427.8</x:v>
      </x:c>
      <x:c r="G78" s="27" t="n">
        <x:f t="shared" si="10"/>
        <x:v>72.30000000000001</x:v>
      </x:c>
      <x:c r="H78" s="28" t="n">
        <x:f t="shared" si="11"/>
        <x:v>0.20337552742616036</x:v>
      </x:c>
      <x:c r="I78" s="28" t="n">
        <x:v>0.85054696969697</x:v>
      </x:c>
      <x:c r="J78" s="28" t="n">
        <x:v>0.921853333333333</x:v>
      </x:c>
      <x:c r="K78" s="28" t="n">
        <x:f t="shared" si="12"/>
        <x:v>0.071306363636363</x:v>
      </x:c>
      <x:c r="L78" s="28" t="n">
        <x:v>0.999242424242424</x:v>
      </x:c>
      <x:c r="M78" s="28" t="n">
        <x:v>0.99778</x:v>
      </x:c>
      <x:c r="N78" s="28" t="n">
        <x:f t="shared" si="13"/>
        <x:v>-0.001462424242424043</x:v>
      </x:c>
      <x:c r="O78" s="28" t="n">
        <x:v>0.79040303030303</x:v>
      </x:c>
      <x:c r="P78" s="28" t="n">
        <x:v>0.966666666666667</x:v>
      </x:c>
      <x:c r="Q78" s="28" t="n">
        <x:f t="shared" si="14"/>
        <x:v>0.17626363636363696</x:v>
      </x:c>
    </x:row>
    <x:row r="79">
      <x:c r="A79" s="19" t="n">
        <x:v>71</x:v>
      </x:c>
      <x:c r="B79" s="20" t="str">
        <x:v>新北市</x:v>
      </x:c>
      <x:c r="C79" s="20" t="str">
        <x:v>新莊區</x:v>
      </x:c>
      <x:c r="D79" s="21" t="str">
        <x:v>捷運頭前庄站(1號出口)</x:v>
      </x:c>
      <x:c r="E79" s="22" t="n">
        <x:v>342.4</x:v>
      </x:c>
      <x:c r="F79" s="22" t="n">
        <x:v>414</x:v>
      </x:c>
      <x:c r="G79" s="22" t="n">
        <x:f t="shared" si="10"/>
        <x:v>71.60000000000002</x:v>
      </x:c>
      <x:c r="H79" s="23" t="n">
        <x:f t="shared" si="11"/>
        <x:v>0.20911214953271037</x:v>
      </x:c>
      <x:c r="I79" s="23" t="n">
        <x:v>0.874916666666667</x:v>
      </x:c>
      <x:c r="J79" s="23" t="n">
        <x:v>0.853146666666667</x:v>
      </x:c>
      <x:c r="K79" s="23" t="n">
        <x:f t="shared" si="12"/>
        <x:v>-0.021769999999999956</x:v>
      </x:c>
      <x:c r="L79" s="23" t="n">
        <x:v>1</x:v>
      </x:c>
      <x:c r="M79" s="23" t="n">
        <x:v>1</x:v>
      </x:c>
      <x:c r="N79" s="23" t="n">
        <x:f t="shared" si="13"/>
        <x:v>0</x:v>
      </x:c>
      <x:c r="O79" s="23" t="n">
        <x:v>0.689145454545455</x:v>
      </x:c>
      <x:c r="P79" s="23" t="n">
        <x:v>0.737773333333333</x:v>
      </x:c>
      <x:c r="Q79" s="23" t="n">
        <x:f t="shared" si="14"/>
        <x:v>0.048627878787878</x:v>
      </x:c>
    </x:row>
    <x:row r="80">
      <x:c r="A80" s="24" t="n">
        <x:v>72</x:v>
      </x:c>
      <x:c r="B80" s="25" t="str">
        <x:v>新北市</x:v>
      </x:c>
      <x:c r="C80" s="25" t="str">
        <x:v>林口區</x:v>
      </x:c>
      <x:c r="D80" s="26" t="str">
        <x:v>忠孝二文化二路口</x:v>
      </x:c>
      <x:c r="E80" s="27" t="n">
        <x:v>120</x:v>
      </x:c>
      <x:c r="F80" s="27" t="n">
        <x:v>186</x:v>
      </x:c>
      <x:c r="G80" s="27" t="n">
        <x:f t="shared" si="10"/>
        <x:v>66</x:v>
      </x:c>
      <x:c r="H80" s="28" t="n">
        <x:f t="shared" si="11"/>
        <x:v>0.55</x:v>
      </x:c>
      <x:c r="I80" s="28" t="n">
        <x:v>0.839645707070707</x:v>
      </x:c>
      <x:c r="J80" s="28" t="n">
        <x:v>0.95241</x:v>
      </x:c>
      <x:c r="K80" s="28" t="n">
        <x:f t="shared" si="12"/>
        <x:v>0.11276429292929302</x:v>
      </x:c>
      <x:c r="L80" s="28" t="n">
        <x:v>0.731307575757576</x:v>
      </x:c>
      <x:c r="M80" s="28" t="n">
        <x:v>0.961113333333333</x:v>
      </x:c>
      <x:c r="N80" s="28" t="n">
        <x:f t="shared" si="13"/>
        <x:v>0.22980575757575705</x:v>
      </x:c>
      <x:c r="O80" s="28" t="n">
        <x:v>0.912119696969697</x:v>
      </x:c>
      <x:c r="P80" s="28" t="n">
        <x:v>1</x:v>
      </x:c>
      <x:c r="Q80" s="28" t="n">
        <x:f t="shared" si="14"/>
        <x:v>0.08788030303030303</x:v>
      </x:c>
    </x:row>
    <x:row r="81">
      <x:c r="A81" s="19" t="n">
        <x:v>73</x:v>
      </x:c>
      <x:c r="B81" s="20" t="str">
        <x:v>新北市</x:v>
      </x:c>
      <x:c r="C81" s="20" t="str">
        <x:v>新莊區</x:v>
      </x:c>
      <x:c r="D81" s="21" t="str">
        <x:v>新莊體育館</x:v>
      </x:c>
      <x:c r="E81" s="22" t="n">
        <x:v>184</x:v>
      </x:c>
      <x:c r="F81" s="22" t="n">
        <x:v>249.8</x:v>
      </x:c>
      <x:c r="G81" s="22" t="n">
        <x:f t="shared" si="10"/>
        <x:v>65.80000000000001</x:v>
      </x:c>
      <x:c r="H81" s="23" t="n">
        <x:f t="shared" si="11"/>
        <x:v>0.35760869565217396</x:v>
      </x:c>
      <x:c r="I81" s="23" t="n">
        <x:v>0.82432904040404</x:v>
      </x:c>
      <x:c r="J81" s="23" t="n">
        <x:v>0.956482222222222</x:v>
      </x:c>
      <x:c r="K81" s="23" t="n">
        <x:f t="shared" si="12"/>
        <x:v>0.13215318181818203</x:v>
      </x:c>
      <x:c r="L81" s="23" t="n">
        <x:v>0.723487878787879</x:v>
      </x:c>
      <x:c r="M81" s="23" t="n">
        <x:v>0.988886666666667</x:v>
      </x:c>
      <x:c r="N81" s="23" t="n">
        <x:f t="shared" si="13"/>
        <x:v>0.265398787878788</x:v>
      </x:c>
      <x:c r="O81" s="23" t="n">
        <x:v>0.861115151515152</x:v>
      </x:c>
      <x:c r="P81" s="23" t="n">
        <x:v>0.985553333333333</x:v>
      </x:c>
      <x:c r="Q81" s="23" t="n">
        <x:f t="shared" si="14"/>
        <x:v>0.12443818181818089</x:v>
      </x:c>
    </x:row>
    <x:row r="82">
      <x:c r="A82" s="24" t="n">
        <x:v>74</x:v>
      </x:c>
      <x:c r="B82" s="25" t="str">
        <x:v>新北市</x:v>
      </x:c>
      <x:c r="C82" s="25" t="str">
        <x:v>三重區</x:v>
      </x:c>
      <x:c r="D82" s="26" t="str">
        <x:v>光復路一段15巷口</x:v>
      </x:c>
      <x:c r="E82" s="27" t="n">
        <x:v>131.1</x:v>
      </x:c>
      <x:c r="F82" s="27" t="n">
        <x:v>194.4</x:v>
      </x:c>
      <x:c r="G82" s="27" t="n">
        <x:f t="shared" si="10"/>
        <x:v>63.30000000000001</x:v>
      </x:c>
      <x:c r="H82" s="28" t="n">
        <x:f t="shared" si="11"/>
        <x:v>0.4828375286041191</x:v>
      </x:c>
      <x:c r="I82" s="28" t="n">
        <x:v>0.860143434343434</x:v>
      </x:c>
      <x:c r="J82" s="28" t="n">
        <x:v>0.921664444444444</x:v>
      </x:c>
      <x:c r="K82" s="28" t="n">
        <x:f t="shared" si="12"/>
        <x:v>0.061521010101009965</x:v>
      </x:c>
      <x:c r="L82" s="28" t="n">
        <x:v>0.790401515151515</x:v>
      </x:c>
      <x:c r="M82" s="28" t="n">
        <x:v>0.843333333333333</x:v>
      </x:c>
      <x:c r="N82" s="28" t="n">
        <x:f t="shared" si="13"/>
        <x:v>0.052931818181818024</x:v>
      </x:c>
      <x:c r="O82" s="28" t="n">
        <x:v>0.960357575757576</x:v>
      </x:c>
      <x:c r="P82" s="28" t="n">
        <x:v>0.998886666666667</x:v>
      </x:c>
      <x:c r="Q82" s="28" t="n">
        <x:f t="shared" si="14"/>
        <x:v>0.03852909090909107</x:v>
      </x:c>
    </x:row>
    <x:row r="83">
      <x:c r="A83" s="19" t="n">
        <x:v>75</x:v>
      </x:c>
      <x:c r="B83" s="20" t="str">
        <x:v>新北市</x:v>
      </x:c>
      <x:c r="C83" s="20" t="str">
        <x:v>新莊區</x:v>
      </x:c>
      <x:c r="D83" s="21" t="str">
        <x:v>新莊國民運動中心(和興街)</x:v>
      </x:c>
      <x:c r="E83" s="22" t="n">
        <x:v>138.5</x:v>
      </x:c>
      <x:c r="F83" s="22" t="n">
        <x:v>201</x:v>
      </x:c>
      <x:c r="G83" s="22" t="n">
        <x:f t="shared" si="10"/>
        <x:v>62.5</x:v>
      </x:c>
      <x:c r="H83" s="23" t="n">
        <x:f t="shared" si="11"/>
        <x:v>0.45126353790613716</x:v>
      </x:c>
      <x:c r="I83" s="23" t="n">
        <x:v>0.845244191919192</x:v>
      </x:c>
      <x:c r="J83" s="23" t="n">
        <x:v>0.914263333333333</x:v>
      </x:c>
      <x:c r="K83" s="23" t="n">
        <x:f t="shared" si="12"/>
        <x:v>0.069019141414141</x:v>
      </x:c>
      <x:c r="L83" s="23" t="n">
        <x:v>0.590409090909091</x:v>
      </x:c>
      <x:c r="M83" s="23" t="n">
        <x:v>0.907786666666667</x:v>
      </x:c>
      <x:c r="N83" s="23" t="n">
        <x:f t="shared" si="13"/>
        <x:v>0.31737757575757597</x:v>
      </x:c>
      <x:c r="O83" s="23" t="n">
        <x:v>0.985606060606061</x:v>
      </x:c>
      <x:c r="P83" s="23" t="n">
        <x:v>0.986666666666667</x:v>
      </x:c>
      <x:c r="Q83" s="23" t="n">
        <x:f t="shared" si="14"/>
        <x:v>0.0010606060606059842</x:v>
      </x:c>
    </x:row>
    <x:row r="84">
      <x:c r="A84" s="24" t="n">
        <x:v>76</x:v>
      </x:c>
      <x:c r="B84" s="25" t="str">
        <x:v>新北市</x:v>
      </x:c>
      <x:c r="C84" s="25" t="str">
        <x:v>板橋區</x:v>
      </x:c>
      <x:c r="D84" s="26" t="str">
        <x:v>捷運江子翠站(2號出口)</x:v>
      </x:c>
      <x:c r="E84" s="27" t="n">
        <x:v>220.6</x:v>
      </x:c>
      <x:c r="F84" s="27" t="n">
        <x:v>281</x:v>
      </x:c>
      <x:c r="G84" s="27" t="n">
        <x:f t="shared" si="10"/>
        <x:v>60.400000000000006</x:v>
      </x:c>
      <x:c r="H84" s="28" t="n">
        <x:f t="shared" si="11"/>
        <x:v>0.27379873073436084</x:v>
      </x:c>
      <x:c r="I84" s="28" t="n">
        <x:v>0.844698737373737</x:v>
      </x:c>
      <x:c r="J84" s="28" t="n">
        <x:v>0.812963333333333</x:v>
      </x:c>
      <x:c r="K84" s="28" t="n">
        <x:f t="shared" si="12"/>
        <x:v>-0.03173540404040398</x:v>
      </x:c>
      <x:c r="L84" s="28" t="n">
        <x:v>1</x:v>
      </x:c>
      <x:c r="M84" s="28" t="n">
        <x:v>1</x:v>
      </x:c>
      <x:c r="N84" s="28" t="n">
        <x:f t="shared" si="13"/>
        <x:v>0</x:v>
      </x:c>
      <x:c r="O84" s="28" t="n">
        <x:v>0.738893939393939</x:v>
      </x:c>
      <x:c r="P84" s="28" t="n">
        <x:v>0.76</x:v>
      </x:c>
      <x:c r="Q84" s="28" t="n">
        <x:f t="shared" si="14"/>
        <x:v>0.021106060606061017</x:v>
      </x:c>
    </x:row>
    <x:row r="85">
      <x:c r="A85" s="19" t="n">
        <x:v>77</x:v>
      </x:c>
      <x:c r="B85" s="20" t="str">
        <x:v>新北市</x:v>
      </x:c>
      <x:c r="C85" s="20" t="str">
        <x:v>板橋區</x:v>
      </x:c>
      <x:c r="D85" s="21" t="str">
        <x:v>捷運江子翠站(3號出口)</x:v>
      </x:c>
      <x:c r="E85" s="22" t="n">
        <x:v>399.9</x:v>
      </x:c>
      <x:c r="F85" s="22" t="n">
        <x:v>459.6</x:v>
      </x:c>
      <x:c r="G85" s="22" t="n">
        <x:f t="shared" si="10"/>
        <x:v>59.700000000000045</x:v>
      </x:c>
      <x:c r="H85" s="23" t="n">
        <x:f t="shared" si="11"/>
        <x:v>0.14928732183045773</x:v>
      </x:c>
      <x:c r="I85" s="23" t="n">
        <x:v>0.834974494949495</x:v>
      </x:c>
      <x:c r="J85" s="23" t="n">
        <x:v>0.84741</x:v>
      </x:c>
      <x:c r="K85" s="23" t="n">
        <x:f t="shared" si="12"/>
        <x:v>0.012435505050504947</x:v>
      </x:c>
      <x:c r="L85" s="23" t="n">
        <x:v>1</x:v>
      </x:c>
      <x:c r="M85" s="23" t="n">
        <x:v>1</x:v>
      </x:c>
      <x:c r="N85" s="23" t="n">
        <x:f t="shared" si="13"/>
        <x:v>0</x:v>
      </x:c>
      <x:c r="O85" s="23" t="n">
        <x:v>0.672474242424243</x:v>
      </x:c>
      <x:c r="P85" s="23" t="n">
        <x:v>0.836673333333333</x:v>
      </x:c>
      <x:c r="Q85" s="23" t="n">
        <x:f t="shared" si="14"/>
        <x:v>0.16419909090909002</x:v>
      </x:c>
    </x:row>
    <x:row r="86">
      <x:c r="A86" s="24" t="n">
        <x:v>78</x:v>
      </x:c>
      <x:c r="B86" s="25" t="str">
        <x:v>新北市</x:v>
      </x:c>
      <x:c r="C86" s="25" t="str">
        <x:v>板橋區</x:v>
      </x:c>
      <x:c r="D86" s="26" t="str">
        <x:v>新北市政府(新府路)</x:v>
      </x:c>
      <x:c r="E86" s="27" t="n">
        <x:v>348.4</x:v>
      </x:c>
      <x:c r="F86" s="27" t="n">
        <x:v>407.6</x:v>
      </x:c>
      <x:c r="G86" s="27" t="n">
        <x:f t="shared" si="10"/>
        <x:v>59.200000000000045</x:v>
      </x:c>
      <x:c r="H86" s="28" t="n">
        <x:f t="shared" si="11"/>
        <x:v>0.1699196326061999</x:v>
      </x:c>
      <x:c r="I86" s="28" t="n">
        <x:v>0.863215656565657</x:v>
      </x:c>
      <x:c r="J86" s="28" t="n">
        <x:v>0.843147777777778</x:v>
      </x:c>
      <x:c r="K86" s="28" t="n">
        <x:f t="shared" si="12"/>
        <x:v>-0.020067878787878968</x:v>
      </x:c>
      <x:c r="L86" s="28" t="n">
        <x:v>1</x:v>
      </x:c>
      <x:c r="M86" s="28" t="n">
        <x:v>1</x:v>
      </x:c>
      <x:c r="N86" s="28" t="n">
        <x:f t="shared" si="13"/>
        <x:v>0</x:v>
      </x:c>
      <x:c r="O86" s="28" t="n">
        <x:v>0.90959696969697</x:v>
      </x:c>
      <x:c r="P86" s="28" t="n">
        <x:v>0.844446666666667</x:v>
      </x:c>
      <x:c r="Q86" s="28" t="n">
        <x:f t="shared" si="14"/>
        <x:v>-0.065150303030303</x:v>
      </x:c>
    </x:row>
    <x:row r="87">
      <x:c r="A87" s="19" t="n">
        <x:v>79</x:v>
      </x:c>
      <x:c r="B87" s="20" t="str">
        <x:v>新北市</x:v>
      </x:c>
      <x:c r="C87" s="20" t="str">
        <x:v>板橋區</x:v>
      </x:c>
      <x:c r="D87" s="21" t="str">
        <x:v>板林溪北路口</x:v>
      </x:c>
      <x:c r="E87" s="22" t="n">
        <x:v>198</x:v>
      </x:c>
      <x:c r="F87" s="22" t="n">
        <x:v>255.2</x:v>
      </x:c>
      <x:c r="G87" s="22" t="n">
        <x:f t="shared" si="10"/>
        <x:v>57.19999999999999</x:v>
      </x:c>
      <x:c r="H87" s="23" t="n">
        <x:f t="shared" si="11"/>
        <x:v>0.2888888888888888</x:v>
      </x:c>
      <x:c r="I87" s="23" t="n">
        <x:v>0.891203282828283</x:v>
      </x:c>
      <x:c r="J87" s="23" t="n">
        <x:v>0.95</x:v>
      </x:c>
      <x:c r="K87" s="23" t="n">
        <x:f t="shared" si="12"/>
        <x:v>0.05879671717171697</x:v>
      </x:c>
      <x:c r="L87" s="23" t="n">
        <x:v>1</x:v>
      </x:c>
      <x:c r="M87" s="23" t="n">
        <x:v>1</x:v>
      </x:c>
      <x:c r="N87" s="23" t="n">
        <x:f t="shared" si="13"/>
        <x:v>0</x:v>
      </x:c>
      <x:c r="O87" s="23" t="n">
        <x:v>0.94040303030303</x:v>
      </x:c>
      <x:c r="P87" s="23" t="n">
        <x:v>1</x:v>
      </x:c>
      <x:c r="Q87" s="23" t="n">
        <x:f t="shared" si="14"/>
        <x:v>0.05959696969697004</x:v>
      </x:c>
    </x:row>
    <x:row r="88">
      <x:c r="A88" s="24" t="n">
        <x:v>80</x:v>
      </x:c>
      <x:c r="B88" s="25" t="str">
        <x:v>新北市</x:v>
      </x:c>
      <x:c r="C88" s="25" t="str">
        <x:v>新莊區</x:v>
      </x:c>
      <x:c r="D88" s="26" t="str">
        <x:v>八德立體停車場</x:v>
      </x:c>
      <x:c r="E88" s="27" t="n">
        <x:v>206.1</x:v>
      </x:c>
      <x:c r="F88" s="27" t="n">
        <x:v>261.6</x:v>
      </x:c>
      <x:c r="G88" s="27" t="n">
        <x:f t="shared" si="10"/>
        <x:v>55.50000000000003</x:v>
      </x:c>
      <x:c r="H88" s="28" t="n">
        <x:f t="shared" si="11"/>
        <x:v>0.26928675400291135</x:v>
      </x:c>
      <x:c r="I88" s="28" t="n">
        <x:v>0.89330845959596</x:v>
      </x:c>
      <x:c r="J88" s="28" t="n">
        <x:v>0.883794444444444</x:v>
      </x:c>
      <x:c r="K88" s="28" t="n">
        <x:f t="shared" si="12"/>
        <x:v>-0.009514015151515953</x:v>
      </x:c>
      <x:c r="L88" s="28" t="n">
        <x:v>0.774495454545455</x:v>
      </x:c>
      <x:c r="M88" s="28" t="n">
        <x:v>0.74833</x:v>
      </x:c>
      <x:c r="N88" s="28" t="n">
        <x:f t="shared" si="13"/>
        <x:v>-0.026165454545454936</x:v>
      </x:c>
      <x:c r="O88" s="28" t="n">
        <x:v>0.973485606060606</x:v>
      </x:c>
      <x:c r="P88" s="28" t="n">
        <x:v>0.941663333333333</x:v>
      </x:c>
      <x:c r="Q88" s="28" t="n">
        <x:f t="shared" si="14"/>
        <x:v>-0.031822272727273004</x:v>
      </x:c>
    </x:row>
    <x:row r="89">
      <x:c r="A89" s="19" t="n">
        <x:v>81</x:v>
      </x:c>
      <x:c r="B89" s="20" t="str">
        <x:v>新北市</x:v>
      </x:c>
      <x:c r="C89" s="20" t="str">
        <x:v>板橋區</x:v>
      </x:c>
      <x:c r="D89" s="21" t="str">
        <x:v>捷運新埔站(1號出口)</x:v>
      </x:c>
      <x:c r="E89" s="22" t="n">
        <x:v>697.3</x:v>
      </x:c>
      <x:c r="F89" s="22" t="n">
        <x:v>752.4</x:v>
      </x:c>
      <x:c r="G89" s="22" t="n">
        <x:f t="shared" si="10"/>
        <x:v>55.10000000000002</x:v>
      </x:c>
      <x:c r="H89" s="23" t="n">
        <x:f t="shared" si="11"/>
        <x:v>0.07901907356948233</x:v>
      </x:c>
      <x:c r="I89" s="23" t="n">
        <x:v>0.863804545454545</x:v>
      </x:c>
      <x:c r="J89" s="23" t="n">
        <x:v>0.826108888888889</x:v>
      </x:c>
      <x:c r="K89" s="23" t="n">
        <x:f t="shared" si="12"/>
        <x:v>-0.03769565656565599</x:v>
      </x:c>
      <x:c r="L89" s="23" t="n">
        <x:v>1</x:v>
      </x:c>
      <x:c r="M89" s="23" t="n">
        <x:v>1</x:v>
      </x:c>
      <x:c r="N89" s="23" t="n">
        <x:f t="shared" si="13"/>
        <x:v>0</x:v>
      </x:c>
      <x:c r="O89" s="23" t="n">
        <x:v>0.772730303030303</x:v>
      </x:c>
      <x:c r="P89" s="23" t="n">
        <x:v>0.762213333333333</x:v>
      </x:c>
      <x:c r="Q89" s="23" t="n">
        <x:f t="shared" si="14"/>
        <x:v>-0.010516969696970024</x:v>
      </x:c>
    </x:row>
    <x:row r="90">
      <x:c r="A90" s="24" t="n">
        <x:v>82</x:v>
      </x:c>
      <x:c r="B90" s="25" t="str">
        <x:v>新北市</x:v>
      </x:c>
      <x:c r="C90" s="25" t="str">
        <x:v>蘆洲區</x:v>
      </x:c>
      <x:c r="D90" s="26" t="str">
        <x:v>捷運三民高中站(2號出口)</x:v>
      </x:c>
      <x:c r="E90" s="27" t="n">
        <x:v>537.3</x:v>
      </x:c>
      <x:c r="F90" s="27" t="n">
        <x:v>592</x:v>
      </x:c>
      <x:c r="G90" s="27" t="n">
        <x:f t="shared" si="10"/>
        <x:v>54.700000000000045</x:v>
      </x:c>
      <x:c r="H90" s="28" t="n">
        <x:f t="shared" si="11"/>
        <x:v>0.10180532291085065</x:v>
      </x:c>
      <x:c r="I90" s="28" t="n">
        <x:v>0.866077272727273</x:v>
      </x:c>
      <x:c r="J90" s="28" t="n">
        <x:v>0.852588888888889</x:v>
      </x:c>
      <x:c r="K90" s="28" t="n">
        <x:f t="shared" si="12"/>
        <x:v>-0.013488383838384022</x:v>
      </x:c>
      <x:c r="L90" s="28" t="n">
        <x:v>0.969693939393939</x:v>
      </x:c>
      <x:c r="M90" s="28" t="n">
        <x:v>0.983326666666667</x:v>
      </x:c>
      <x:c r="N90" s="28" t="n">
        <x:f t="shared" si="13"/>
        <x:v>0.013632727272728018</x:v>
      </x:c>
      <x:c r="O90" s="28" t="n">
        <x:v>0.778536363636364</x:v>
      </x:c>
      <x:c r="P90" s="28" t="n">
        <x:v>0.887773333333333</x:v>
      </x:c>
      <x:c r="Q90" s="28" t="n">
        <x:f t="shared" si="14"/>
        <x:v>0.10923696969696894</x:v>
      </x:c>
    </x:row>
    <x:row r="91">
      <x:c r="A91" s="19" t="n">
        <x:v>83</x:v>
      </x:c>
      <x:c r="B91" s="20" t="str">
        <x:v>新北市</x:v>
      </x:c>
      <x:c r="C91" s="20" t="str">
        <x:v>新店區</x:v>
      </x:c>
      <x:c r="D91" s="21" t="str">
        <x:v>捷運新店區公所站(1號出口)</x:v>
      </x:c>
      <x:c r="E91" s="22" t="n">
        <x:v>257.5</x:v>
      </x:c>
      <x:c r="F91" s="22" t="n">
        <x:v>312.2</x:v>
      </x:c>
      <x:c r="G91" s="22" t="n">
        <x:f t="shared" si="10"/>
        <x:v>54.69999999999999</x:v>
      </x:c>
      <x:c r="H91" s="23" t="n">
        <x:f t="shared" si="11"/>
        <x:v>0.21242718446601938</x:v>
      </x:c>
      <x:c r="I91" s="23" t="n">
        <x:v>0.898233333333333</x:v>
      </x:c>
      <x:c r="J91" s="23" t="n">
        <x:v>0.860554444444444</x:v>
      </x:c>
      <x:c r="K91" s="23" t="n">
        <x:f t="shared" si="12"/>
        <x:v>-0.03767888888888904</x:v>
      </x:c>
      <x:c r="L91" s="23" t="n">
        <x:v>0.999495454545455</x:v>
      </x:c>
      <x:c r="M91" s="23" t="n">
        <x:v>0.96444</x:v>
      </x:c>
      <x:c r="N91" s="23" t="n">
        <x:f t="shared" si="13"/>
        <x:v>-0.035055454545455</x:v>
      </x:c>
      <x:c r="O91" s="23" t="n">
        <x:v>0.926265151515152</x:v>
      </x:c>
      <x:c r="P91" s="23" t="n">
        <x:v>0.913333333333333</x:v>
      </x:c>
      <x:c r="Q91" s="23" t="n">
        <x:f t="shared" si="14"/>
        <x:v>-0.012931818181818988</x:v>
      </x:c>
    </x:row>
    <x:row r="92">
      <x:c r="A92" s="24" t="n">
        <x:v>84</x:v>
      </x:c>
      <x:c r="B92" s="25" t="str">
        <x:v>新北市</x:v>
      </x:c>
      <x:c r="C92" s="25" t="str">
        <x:v>新莊區</x:v>
      </x:c>
      <x:c r="D92" s="26" t="str">
        <x:v>昌隆國小</x:v>
      </x:c>
      <x:c r="E92" s="27" t="n">
        <x:v>193.2</x:v>
      </x:c>
      <x:c r="F92" s="27" t="n">
        <x:v>246.8</x:v>
      </x:c>
      <x:c r="G92" s="27" t="n">
        <x:f t="shared" si="10"/>
        <x:v>53.60000000000002</x:v>
      </x:c>
      <x:c r="H92" s="28" t="n">
        <x:f t="shared" si="11"/>
        <x:v>0.27743271221532106</x:v>
      </x:c>
      <x:c r="I92" s="28" t="n">
        <x:v>0.898063383838384</x:v>
      </x:c>
      <x:c r="J92" s="28" t="n">
        <x:v>0.905923333333333</x:v>
      </x:c>
      <x:c r="K92" s="28" t="n">
        <x:f t="shared" si="12"/>
        <x:v>0.007859949494948948</x:v>
      </x:c>
      <x:c r="L92" s="28" t="n">
        <x:v>0.687622727272727</x:v>
      </x:c>
      <x:c r="M92" s="28" t="n">
        <x:v>0.738886666666667</x:v>
      </x:c>
      <x:c r="N92" s="28" t="n">
        <x:f t="shared" si="13"/>
        <x:v>0.05126393939394003</x:v>
      </x:c>
      <x:c r="O92" s="28" t="n">
        <x:v>1</x:v>
      </x:c>
      <x:c r="P92" s="28" t="n">
        <x:v>1</x:v>
      </x:c>
      <x:c r="Q92" s="28" t="n">
        <x:f t="shared" si="14"/>
        <x:v>0</x:v>
      </x:c>
    </x:row>
    <x:row r="93">
      <x:c r="A93" s="19" t="n">
        <x:v>85</x:v>
      </x:c>
      <x:c r="B93" s="20" t="str">
        <x:v>新北市</x:v>
      </x:c>
      <x:c r="C93" s="20" t="str">
        <x:v>板橋區</x:v>
      </x:c>
      <x:c r="D93" s="21" t="str">
        <x:v>江翠國中</x:v>
      </x:c>
      <x:c r="E93" s="22" t="n">
        <x:v>144.4</x:v>
      </x:c>
      <x:c r="F93" s="22" t="n">
        <x:v>197.6</x:v>
      </x:c>
      <x:c r="G93" s="22" t="n">
        <x:f t="shared" si="10"/>
        <x:v>53.19999999999999</x:v>
      </x:c>
      <x:c r="H93" s="23" t="n">
        <x:f t="shared" si="11"/>
        <x:v>0.36842105263157887</x:v>
      </x:c>
      <x:c r="I93" s="23" t="n">
        <x:v>0.883586111111111</x:v>
      </x:c>
      <x:c r="J93" s="23" t="n">
        <x:v>0.951666666666667</x:v>
      </x:c>
      <x:c r="K93" s="23" t="n">
        <x:f t="shared" si="12"/>
        <x:v>0.06808055555555603</x:v>
      </x:c>
      <x:c r="L93" s="23" t="n">
        <x:v>1</x:v>
      </x:c>
      <x:c r="M93" s="23" t="n">
        <x:v>1</x:v>
      </x:c>
      <x:c r="N93" s="23" t="n">
        <x:f t="shared" si="13"/>
        <x:v>0</x:v>
      </x:c>
      <x:c r="O93" s="23" t="n">
        <x:v>0.7048</x:v>
      </x:c>
      <x:c r="P93" s="23" t="n">
        <x:v>0.985553333333333</x:v>
      </x:c>
      <x:c r="Q93" s="23" t="n">
        <x:f t="shared" si="14"/>
        <x:v>0.28075333333333297</x:v>
      </x:c>
    </x:row>
    <x:row r="94">
      <x:c r="A94" s="24" t="n">
        <x:v>86</x:v>
      </x:c>
      <x:c r="B94" s="25" t="str">
        <x:v>新北市</x:v>
      </x:c>
      <x:c r="C94" s="25" t="str">
        <x:v>板橋區</x:v>
      </x:c>
      <x:c r="D94" s="26" t="str">
        <x:v>縣民觀光街口</x:v>
      </x:c>
      <x:c r="E94" s="27" t="n">
        <x:v>109.2</x:v>
      </x:c>
      <x:c r="F94" s="27" t="n">
        <x:v>161.4</x:v>
      </x:c>
      <x:c r="G94" s="27" t="n">
        <x:f t="shared" si="10"/>
        <x:v>52.2</x:v>
      </x:c>
      <x:c r="H94" s="28" t="n">
        <x:f t="shared" si="11"/>
        <x:v>0.47802197802197804</x:v>
      </x:c>
      <x:c r="I94" s="28" t="n">
        <x:v>0.767635353535354</x:v>
      </x:c>
      <x:c r="J94" s="28" t="n">
        <x:v>0.846111111111111</x:v>
      </x:c>
      <x:c r="K94" s="28" t="n">
        <x:f t="shared" si="12"/>
        <x:v>0.07847575757575709</x:v>
      </x:c>
      <x:c r="L94" s="28" t="n">
        <x:v>0.66465</x:v>
      </x:c>
      <x:c r="M94" s="28" t="n">
        <x:v>0.644446666666667</x:v>
      </x:c>
      <x:c r="N94" s="28" t="n">
        <x:f t="shared" si="13"/>
        <x:v>-0.020203333333333018</x:v>
      </x:c>
      <x:c r="O94" s="28" t="n">
        <x:v>0.811368181818182</x:v>
      </x:c>
      <x:c r="P94" s="28" t="n">
        <x:v>0.985553333333333</x:v>
      </x:c>
      <x:c r="Q94" s="28" t="n">
        <x:f t="shared" si="14"/>
        <x:v>0.1741851515151509</x:v>
      </x:c>
    </x:row>
    <x:row r="95">
      <x:c r="A95" s="19" t="n">
        <x:v>87</x:v>
      </x:c>
      <x:c r="B95" s="20" t="str">
        <x:v>新北市</x:v>
      </x:c>
      <x:c r="C95" s="20" t="str">
        <x:v>林口區</x:v>
      </x:c>
      <x:c r="D95" s="21" t="str">
        <x:v>林口郵局</x:v>
      </x:c>
      <x:c r="E95" s="22" t="n">
        <x:v>120.6</x:v>
      </x:c>
      <x:c r="F95" s="22" t="n">
        <x:v>172.6</x:v>
      </x:c>
      <x:c r="G95" s="22" t="n">
        <x:f t="shared" si="10"/>
        <x:v>52</x:v>
      </x:c>
      <x:c r="H95" s="23" t="n">
        <x:f t="shared" si="11"/>
        <x:v>0.4311774461028193</x:v>
      </x:c>
      <x:c r="I95" s="23" t="n">
        <x:v>0.861574747474748</x:v>
      </x:c>
      <x:c r="J95" s="23" t="n">
        <x:v>0.991852222222222</x:v>
      </x:c>
      <x:c r="K95" s="23" t="n">
        <x:f t="shared" si="12"/>
        <x:v>0.13027747474747398</x:v>
      </x:c>
      <x:c r="L95" s="23" t="n">
        <x:v>0.652277272727273</x:v>
      </x:c>
      <x:c r="M95" s="23" t="n">
        <x:v>0.953333333333333</x:v>
      </x:c>
      <x:c r="N95" s="23" t="n">
        <x:f t="shared" si="13"/>
        <x:v>0.30105606060606005</x:v>
      </x:c>
      <x:c r="O95" s="23" t="n">
        <x:v>0.900251515151515</x:v>
      </x:c>
      <x:c r="P95" s="23" t="n">
        <x:v>1</x:v>
      </x:c>
      <x:c r="Q95" s="23" t="n">
        <x:f t="shared" si="14"/>
        <x:v>0.09974848484848498</x:v>
      </x:c>
    </x:row>
    <x:row r="96">
      <x:c r="A96" s="24" t="n">
        <x:v>88</x:v>
      </x:c>
      <x:c r="B96" s="25" t="str">
        <x:v>新北市</x:v>
      </x:c>
      <x:c r="C96" s="25" t="str">
        <x:v>板橋區</x:v>
      </x:c>
      <x:c r="D96" s="26" t="str">
        <x:v>縣民漢生東路口(西北側)</x:v>
      </x:c>
      <x:c r="E96" s="27" t="n">
        <x:v>237.6</x:v>
      </x:c>
      <x:c r="F96" s="27" t="n">
        <x:v>288.4</x:v>
      </x:c>
      <x:c r="G96" s="27" t="n">
        <x:f t="shared" si="10"/>
        <x:v>50.79999999999998</x:v>
      </x:c>
      <x:c r="H96" s="28" t="n">
        <x:f t="shared" si="11"/>
        <x:v>0.21380471380471375</x:v>
      </x:c>
      <x:c r="I96" s="28" t="n">
        <x:v>0.852904292929293</x:v>
      </x:c>
      <x:c r="J96" s="28" t="n">
        <x:v>0.889443333333333</x:v>
      </x:c>
      <x:c r="K96" s="28" t="n">
        <x:f t="shared" si="12"/>
        <x:v>0.03653904040403999</x:v>
      </x:c>
      <x:c r="L96" s="28" t="n">
        <x:v>1</x:v>
      </x:c>
      <x:c r="M96" s="28" t="n">
        <x:v>1</x:v>
      </x:c>
      <x:c r="N96" s="28" t="n">
        <x:f t="shared" si="13"/>
        <x:v>0</x:v>
      </x:c>
      <x:c r="O96" s="28" t="n">
        <x:v>0.808080303030303</x:v>
      </x:c>
      <x:c r="P96" s="28" t="n">
        <x:v>0.908886666666667</x:v>
      </x:c>
      <x:c r="Q96" s="28" t="n">
        <x:f t="shared" si="14"/>
        <x:v>0.10080636363636397</x:v>
      </x:c>
    </x:row>
    <x:row r="97">
      <x:c r="A97" s="19" t="n">
        <x:v>89</x:v>
      </x:c>
      <x:c r="B97" s="20" t="str">
        <x:v>新北市</x:v>
      </x:c>
      <x:c r="C97" s="20" t="str">
        <x:v>土城區</x:v>
      </x:c>
      <x:c r="D97" s="21" t="str">
        <x:v>廣福派出所</x:v>
      </x:c>
      <x:c r="E97" s="22" t="n">
        <x:v>162.8</x:v>
      </x:c>
      <x:c r="F97" s="22" t="n">
        <x:v>213</x:v>
      </x:c>
      <x:c r="G97" s="22" t="n">
        <x:f t="shared" si="10"/>
        <x:v>50.19999999999999</x:v>
      </x:c>
      <x:c r="H97" s="23" t="n">
        <x:f t="shared" si="11"/>
        <x:v>0.30835380835380827</x:v>
      </x:c>
      <x:c r="I97" s="23" t="n">
        <x:v>0.828872474747475</x:v>
      </x:c>
      <x:c r="J97" s="23" t="n">
        <x:v>0.839445555555556</x:v>
      </x:c>
      <x:c r="K97" s="23" t="n">
        <x:f t="shared" si="12"/>
        <x:v>0.010573080808080948</x:v>
      </x:c>
      <x:c r="L97" s="23" t="n">
        <x:v>0.547980303030303</x:v>
      </x:c>
      <x:c r="M97" s="23" t="n">
        <x:v>0.614446666666667</x:v>
      </x:c>
      <x:c r="N97" s="23" t="n">
        <x:f t="shared" si="13"/>
        <x:v>0.06646636363636405</x:v>
      </x:c>
      <x:c r="O97" s="23" t="n">
        <x:v>0.96995</x:v>
      </x:c>
      <x:c r="P97" s="23" t="n">
        <x:v>0.998886666666667</x:v>
      </x:c>
      <x:c r="Q97" s="23" t="n">
        <x:f t="shared" si="14"/>
        <x:v>0.028936666666667055</x:v>
      </x:c>
    </x:row>
    <x:row r="98">
      <x:c r="A98" s="24" t="n">
        <x:v>90</x:v>
      </x:c>
      <x:c r="B98" s="25" t="str">
        <x:v>新北市</x:v>
      </x:c>
      <x:c r="C98" s="25" t="str">
        <x:v>板橋區</x:v>
      </x:c>
      <x:c r="D98" s="26" t="str">
        <x:v>板新中山路一段口</x:v>
      </x:c>
      <x:c r="E98" s="27" t="n">
        <x:v>197.2</x:v>
      </x:c>
      <x:c r="F98" s="27" t="n">
        <x:v>246.4</x:v>
      </x:c>
      <x:c r="G98" s="27" t="n">
        <x:f t="shared" si="10"/>
        <x:v>49.20000000000002</x:v>
      </x:c>
      <x:c r="H98" s="28" t="n">
        <x:f t="shared" si="11"/>
        <x:v>0.24949290060851936</x:v>
      </x:c>
      <x:c r="I98" s="28" t="n">
        <x:v>0.891836616161616</x:v>
      </x:c>
      <x:c r="J98" s="28" t="n">
        <x:v>0.947963333333333</x:v>
      </x:c>
      <x:c r="K98" s="28" t="n">
        <x:f t="shared" si="12"/>
        <x:v>0.05612671717171702</x:v>
      </x:c>
      <x:c r="L98" s="28" t="n">
        <x:v>0.828033333333333</x:v>
      </x:c>
      <x:c r="M98" s="28" t="n">
        <x:v>0.948886666666667</x:v>
      </x:c>
      <x:c r="N98" s="28" t="n">
        <x:f t="shared" si="13"/>
        <x:v>0.12085333333333403</x:v>
      </x:c>
      <x:c r="O98" s="28" t="n">
        <x:v>0.965151515151515</x:v>
      </x:c>
      <x:c r="P98" s="28" t="n">
        <x:v>0.935553333333333</x:v>
      </x:c>
      <x:c r="Q98" s="28" t="n">
        <x:f t="shared" si="14"/>
        <x:v>-0.029598181818181968</x:v>
      </x:c>
    </x:row>
    <x:row r="99">
      <x:c r="A99" s="19" t="n">
        <x:v>91</x:v>
      </x:c>
      <x:c r="B99" s="20" t="str">
        <x:v>新北市</x:v>
      </x:c>
      <x:c r="C99" s="20" t="str">
        <x:v>永和區</x:v>
      </x:c>
      <x:c r="D99" s="21" t="str">
        <x:v>保平路214巷</x:v>
      </x:c>
      <x:c r="E99" s="22" t="n">
        <x:v>128.2</x:v>
      </x:c>
      <x:c r="F99" s="22" t="n">
        <x:v>177</x:v>
      </x:c>
      <x:c r="G99" s="22" t="n">
        <x:f t="shared" si="10"/>
        <x:v>48.80000000000001</x:v>
      </x:c>
      <x:c r="H99" s="23" t="n">
        <x:f t="shared" si="11"/>
        <x:v>0.38065522620904846</x:v>
      </x:c>
      <x:c r="I99" s="23" t="n">
        <x:v>0.8743975</x:v>
      </x:c>
      <x:c r="J99" s="23" t="n">
        <x:v>0.933702222222222</x:v>
      </x:c>
      <x:c r="K99" s="23" t="n">
        <x:f t="shared" si="12"/>
        <x:v>0.05930472222222194</x:v>
      </x:c>
      <x:c r="L99" s="23" t="n">
        <x:v>0.827221666666667</x:v>
      </x:c>
      <x:c r="M99" s="23" t="n">
        <x:v>0.845553333333333</x:v>
      </x:c>
      <x:c r="N99" s="23" t="n">
        <x:f t="shared" si="13"/>
        <x:v>0.01833166666666608</x:v>
      </x:c>
      <x:c r="O99" s="23" t="n">
        <x:v>0.928888333333333</x:v>
      </x:c>
      <x:c r="P99" s="23" t="n">
        <x:v>0.961106666666667</x:v>
      </x:c>
      <x:c r="Q99" s="23" t="n">
        <x:f t="shared" si="14"/>
        <x:v>0.032218333333334015</x:v>
      </x:c>
    </x:row>
    <x:row r="100">
      <x:c r="A100" s="24" t="n">
        <x:v>92</x:v>
      </x:c>
      <x:c r="B100" s="25" t="str">
        <x:v>新北市</x:v>
      </x:c>
      <x:c r="C100" s="25" t="str">
        <x:v>永和區</x:v>
      </x:c>
      <x:c r="D100" s="26" t="str">
        <x:v>永和國父紀念館</x:v>
      </x:c>
      <x:c r="E100" s="27" t="n">
        <x:v>374.3</x:v>
      </x:c>
      <x:c r="F100" s="27" t="n">
        <x:v>422.8</x:v>
      </x:c>
      <x:c r="G100" s="27" t="n">
        <x:f t="shared" si="10"/>
        <x:v>48.5</x:v>
      </x:c>
      <x:c r="H100" s="28" t="n">
        <x:f t="shared" si="11"/>
        <x:v>0.12957520705316591</x:v>
      </x:c>
      <x:c r="I100" s="28" t="n">
        <x:v>0.893265151515152</x:v>
      </x:c>
      <x:c r="J100" s="28" t="n">
        <x:v>0.910186666666667</x:v>
      </x:c>
      <x:c r="K100" s="28" t="n">
        <x:f t="shared" si="12"/>
        <x:v>0.016921515151515076</x:v>
      </x:c>
      <x:c r="L100" s="28" t="n">
        <x:v>0.760854545454545</x:v>
      </x:c>
      <x:c r="M100" s="28" t="n">
        <x:v>0.80112</x:v>
      </x:c>
      <x:c r="N100" s="28" t="n">
        <x:f t="shared" si="13"/>
        <x:v>0.04026545454545505</x:v>
      </x:c>
      <x:c r="O100" s="28" t="n">
        <x:v>0.995201515151515</x:v>
      </x:c>
      <x:c r="P100" s="28" t="n">
        <x:v>0.98</x:v>
      </x:c>
      <x:c r="Q100" s="28" t="n">
        <x:f t="shared" si="14"/>
        <x:v>-0.015201515151515022</x:v>
      </x:c>
    </x:row>
    <x:row r="101">
      <x:c r="A101" s="19" t="n">
        <x:v>93</x:v>
      </x:c>
      <x:c r="B101" s="20" t="str">
        <x:v>新北市</x:v>
      </x:c>
      <x:c r="C101" s="20" t="str">
        <x:v>板橋區</x:v>
      </x:c>
      <x:c r="D101" s="21" t="str">
        <x:v>捷運亞東醫院站(2號出口)</x:v>
      </x:c>
      <x:c r="E101" s="22" t="n">
        <x:v>315.7</x:v>
      </x:c>
      <x:c r="F101" s="22" t="n">
        <x:v>364.2</x:v>
      </x:c>
      <x:c r="G101" s="22" t="n">
        <x:f t="shared" si="10"/>
        <x:v>48.5</x:v>
      </x:c>
      <x:c r="H101" s="23" t="n">
        <x:f t="shared" si="11"/>
        <x:v>0.15362686094393413</x:v>
      </x:c>
      <x:c r="I101" s="23" t="n">
        <x:v>0.809890151515152</x:v>
      </x:c>
      <x:c r="J101" s="23" t="n">
        <x:v>0.832218888888889</x:v>
      </x:c>
      <x:c r="K101" s="23" t="n">
        <x:f t="shared" si="12"/>
        <x:v>0.022328737373736973</x:v>
      </x:c>
      <x:c r="L101" s="23" t="n">
        <x:v>0.996718181818182</x:v>
      </x:c>
      <x:c r="M101" s="23" t="n">
        <x:v>1</x:v>
      </x:c>
      <x:c r="N101" s="23" t="n">
        <x:f t="shared" si="13"/>
        <x:v>0.0032818181818180525</x:v>
      </x:c>
      <x:c r="O101" s="23" t="n">
        <x:v>0.663381818181818</x:v>
      </x:c>
      <x:c r="P101" s="23" t="n">
        <x:v>0.75666</x:v>
      </x:c>
      <x:c r="Q101" s="23" t="n">
        <x:f t="shared" si="14"/>
        <x:v>0.09327818181818204</x:v>
      </x:c>
    </x:row>
    <x:row r="102">
      <x:c r="A102" s="24" t="n">
        <x:v>94</x:v>
      </x:c>
      <x:c r="B102" s="25" t="str">
        <x:v>新北市</x:v>
      </x:c>
      <x:c r="C102" s="25" t="str">
        <x:v>三重區</x:v>
      </x:c>
      <x:c r="D102" s="26" t="str">
        <x:v>碧華公園(集勇街)</x:v>
      </x:c>
      <x:c r="E102" s="27" t="n">
        <x:v>113.2</x:v>
      </x:c>
      <x:c r="F102" s="27" t="n">
        <x:v>161.6</x:v>
      </x:c>
      <x:c r="G102" s="27" t="n">
        <x:f t="shared" si="10"/>
        <x:v>48.39999999999999</x:v>
      </x:c>
      <x:c r="H102" s="28" t="n">
        <x:f t="shared" si="11"/>
        <x:v>0.4275618374558303</x:v>
      </x:c>
      <x:c r="I102" s="28" t="n">
        <x:v>0.877614705882353</x:v>
      </x:c>
      <x:c r="J102" s="28" t="n">
        <x:v>0.960001111111111</x:v>
      </x:c>
      <x:c r="K102" s="28" t="n">
        <x:f t="shared" si="12"/>
        <x:v>0.08238640522875795</x:v>
      </x:c>
      <x:c r="L102" s="28" t="n">
        <x:v>0.764380392156863</x:v>
      </x:c>
      <x:c r="M102" s="28" t="n">
        <x:v>0.923333333333334</x:v>
      </x:c>
      <x:c r="N102" s="28" t="n">
        <x:f t="shared" si="13"/>
        <x:v>0.15895294117647096</x:v>
      </x:c>
      <x:c r="O102" s="28" t="n">
        <x:v>0.949019607843137</x:v>
      </x:c>
      <x:c r="P102" s="28" t="n">
        <x:v>1</x:v>
      </x:c>
      <x:c r="Q102" s="28" t="n">
        <x:f t="shared" si="14"/>
        <x:v>0.05098039215686301</x:v>
      </x:c>
    </x:row>
    <x:row r="103">
      <x:c r="A103" s="19" t="n">
        <x:v>95</x:v>
      </x:c>
      <x:c r="B103" s="20" t="str">
        <x:v>新北市</x:v>
      </x:c>
      <x:c r="C103" s="20" t="str">
        <x:v>板橋區</x:v>
      </x:c>
      <x:c r="D103" s="21" t="str">
        <x:v>萬板文聖街口</x:v>
      </x:c>
      <x:c r="E103" s="22" t="n">
        <x:v>125.2</x:v>
      </x:c>
      <x:c r="F103" s="22" t="n">
        <x:v>172.4</x:v>
      </x:c>
      <x:c r="G103" s="22" t="n">
        <x:f t="shared" si="10"/>
        <x:v>47.2</x:v>
      </x:c>
      <x:c r="H103" s="23" t="n">
        <x:f t="shared" si="11"/>
        <x:v>0.3769968051118211</x:v>
      </x:c>
      <x:c r="I103" s="23" t="n">
        <x:v>0.877988383838384</x:v>
      </x:c>
      <x:c r="J103" s="23" t="n">
        <x:v>0.910366666666667</x:v>
      </x:c>
      <x:c r="K103" s="23" t="n">
        <x:f t="shared" si="12"/>
        <x:v>0.032378282828283034</x:v>
      </x:c>
      <x:c r="L103" s="23" t="n">
        <x:v>0.707575757575758</x:v>
      </x:c>
      <x:c r="M103" s="23" t="n">
        <x:v>0.735546666666667</x:v>
      </x:c>
      <x:c r="N103" s="23" t="n">
        <x:f t="shared" si="13"/>
        <x:v>0.027970909090909046</x:v>
      </x:c>
      <x:c r="O103" s="23" t="n">
        <x:v>1</x:v>
      </x:c>
      <x:c r="P103" s="23" t="n">
        <x:v>0.983333333333333</x:v>
      </x:c>
      <x:c r="Q103" s="23" t="n">
        <x:f t="shared" si="14"/>
        <x:v>-0.01666666666666705</x:v>
      </x:c>
    </x:row>
    <x:row r="104">
      <x:c r="A104" s="24" t="n">
        <x:v>96</x:v>
      </x:c>
      <x:c r="B104" s="25" t="str">
        <x:v>新北市</x:v>
      </x:c>
      <x:c r="C104" s="25" t="str">
        <x:v>林口區</x:v>
      </x:c>
      <x:c r="D104" s="26" t="str">
        <x:v>忠孝公園路口</x:v>
      </x:c>
      <x:c r="E104" s="27" t="n">
        <x:v>113.5</x:v>
      </x:c>
      <x:c r="F104" s="27" t="n">
        <x:v>159.6</x:v>
      </x:c>
      <x:c r="G104" s="27" t="n">
        <x:f t="shared" si="10"/>
        <x:v>46.099999999999994</x:v>
      </x:c>
      <x:c r="H104" s="28" t="n">
        <x:f t="shared" si="11"/>
        <x:v>0.40616740088105724</x:v>
      </x:c>
      <x:c r="I104" s="28" t="n">
        <x:v>0.859680555555556</x:v>
      </x:c>
      <x:c r="J104" s="28" t="n">
        <x:v>0.925368888888889</x:v>
      </x:c>
      <x:c r="K104" s="28" t="n">
        <x:f t="shared" si="12"/>
        <x:v>0.06568833333333302</x:v>
      </x:c>
      <x:c r="L104" s="28" t="n">
        <x:v>0.779795454545454</x:v>
      </x:c>
      <x:c r="M104" s="28" t="n">
        <x:v>0.899993333333333</x:v>
      </x:c>
      <x:c r="N104" s="28" t="n">
        <x:f t="shared" si="13"/>
        <x:v>0.12019787878787902</x:v>
      </x:c>
      <x:c r="O104" s="28" t="n">
        <x:v>0.867172727272727</x:v>
      </x:c>
      <x:c r="P104" s="28" t="n">
        <x:v>0.96222</x:v>
      </x:c>
      <x:c r="Q104" s="28" t="n">
        <x:f t="shared" si="14"/>
        <x:v>0.09504727272727298</x:v>
      </x:c>
    </x:row>
    <x:row r="105">
      <x:c r="A105" s="19" t="n">
        <x:v>97</x:v>
      </x:c>
      <x:c r="B105" s="20" t="str">
        <x:v>新北市</x:v>
      </x:c>
      <x:c r="C105" s="20" t="str">
        <x:v>板橋區</x:v>
      </x:c>
      <x:c r="D105" s="21" t="str">
        <x:v>板橋中山公園</x:v>
      </x:c>
      <x:c r="E105" s="22" t="n">
        <x:v>160.4</x:v>
      </x:c>
      <x:c r="F105" s="22" t="n">
        <x:v>206.4</x:v>
      </x:c>
      <x:c r="G105" s="22" t="n">
        <x:f t="shared" ref="G105:G136" si="15">IF(OR(E105="",F105=""),"",F105-E105)</x:f>
        <x:v>46</x:v>
      </x:c>
      <x:c r="H105" s="23" t="n">
        <x:f t="shared" ref="H105:H136" si="16">IF(OR(E105="",F105="",E105=0),"",(F105-E105)/E105)</x:f>
        <x:v>0.286783042394015</x:v>
      </x:c>
      <x:c r="I105" s="23" t="n">
        <x:v>0.879966414141414</x:v>
      </x:c>
      <x:c r="J105" s="23" t="n">
        <x:v>0.837965555555556</x:v>
      </x:c>
      <x:c r="K105" s="23" t="n">
        <x:f t="shared" ref="K105:K136" si="17">IF(OR(I105="",J105=""),"",J105-I105)</x:f>
        <x:v>-0.042000858585858</x:v>
      </x:c>
      <x:c r="L105" s="23" t="n">
        <x:v>0.777019696969697</x:v>
      </x:c>
      <x:c r="M105" s="23" t="n">
        <x:v>0.936673333333333</x:v>
      </x:c>
      <x:c r="N105" s="23" t="n">
        <x:f t="shared" ref="N105:N136" si="18">IF(OR(L105="",M105=""),"",M105-L105)</x:f>
        <x:v>0.15965363636363605</x:v>
      </x:c>
      <x:c r="O105" s="23" t="n">
        <x:v>0.92575606060606</x:v>
      </x:c>
      <x:c r="P105" s="23" t="n">
        <x:v>0.805553333333333</x:v>
      </x:c>
      <x:c r="Q105" s="23" t="n">
        <x:f t="shared" ref="Q105:Q136" si="19">IF(OR(O105="",P105=""),"",P105-O105)</x:f>
        <x:v>-0.12020272727272696</x:v>
      </x:c>
    </x:row>
    <x:row r="106">
      <x:c r="A106" s="24" t="n">
        <x:v>98</x:v>
      </x:c>
      <x:c r="B106" s="25" t="str">
        <x:v>新北市</x:v>
      </x:c>
      <x:c r="C106" s="25" t="str">
        <x:v>板橋區</x:v>
      </x:c>
      <x:c r="D106" s="26" t="str">
        <x:v>捷運板橋站(3號出口)</x:v>
      </x:c>
      <x:c r="E106" s="27" t="n">
        <x:v>281.3</x:v>
      </x:c>
      <x:c r="F106" s="27" t="n">
        <x:v>326.8</x:v>
      </x:c>
      <x:c r="G106" s="27" t="n">
        <x:f t="shared" si="15"/>
        <x:v>45.5</x:v>
      </x:c>
      <x:c r="H106" s="28" t="n">
        <x:f t="shared" si="16"/>
        <x:v>0.1617490223960185</x:v>
      </x:c>
      <x:c r="I106" s="28" t="n">
        <x:v>0.792341414141414</x:v>
      </x:c>
      <x:c r="J106" s="28" t="n">
        <x:v>0.806297777777778</x:v>
      </x:c>
      <x:c r="K106" s="28" t="n">
        <x:f t="shared" si="17"/>
        <x:v>0.013956363636363989</x:v>
      </x:c>
      <x:c r="L106" s="28" t="n">
        <x:v>1</x:v>
      </x:c>
      <x:c r="M106" s="28" t="n">
        <x:v>1</x:v>
      </x:c>
      <x:c r="N106" s="28" t="n">
        <x:f t="shared" si="18"/>
        <x:v>0</x:v>
      </x:c>
      <x:c r="O106" s="28" t="n">
        <x:v>0.695456060606061</x:v>
      </x:c>
      <x:c r="P106" s="28" t="n">
        <x:v>0.732233333333333</x:v>
      </x:c>
      <x:c r="Q106" s="28" t="n">
        <x:f t="shared" si="19"/>
        <x:v>0.03677727272727194</x:v>
      </x:c>
    </x:row>
    <x:row r="107">
      <x:c r="A107" s="19" t="n">
        <x:v>99</x:v>
      </x:c>
      <x:c r="B107" s="20" t="str">
        <x:v>新北市</x:v>
      </x:c>
      <x:c r="C107" s="20" t="str">
        <x:v>板橋區</x:v>
      </x:c>
      <x:c r="D107" s="21" t="str">
        <x:v>莊敬路25巷口</x:v>
      </x:c>
      <x:c r="E107" s="22" t="n">
        <x:v>109.4</x:v>
      </x:c>
      <x:c r="F107" s="22" t="n">
        <x:v>154.8</x:v>
      </x:c>
      <x:c r="G107" s="22" t="n">
        <x:f t="shared" si="15"/>
        <x:v>45.400000000000006</x:v>
      </x:c>
      <x:c r="H107" s="23" t="n">
        <x:f t="shared" si="16"/>
        <x:v>0.41499085923217555</x:v>
      </x:c>
      <x:c r="I107" s="23" t="n">
        <x:v>0.866498484848485</x:v>
      </x:c>
      <x:c r="J107" s="23" t="n">
        <x:v>0.911852222222222</x:v>
      </x:c>
      <x:c r="K107" s="23" t="n">
        <x:f t="shared" si="17"/>
        <x:v>0.045353737373736935</x:v>
      </x:c>
      <x:c r="L107" s="23" t="n">
        <x:v>0.691916666666667</x:v>
      </x:c>
      <x:c r="M107" s="23" t="n">
        <x:v>0.795546666666667</x:v>
      </x:c>
      <x:c r="N107" s="23" t="n">
        <x:f t="shared" si="18"/>
        <x:v>0.10363</x:v>
      </x:c>
      <x:c r="O107" s="23" t="n">
        <x:v>0.997222727272727</x:v>
      </x:c>
      <x:c r="P107" s="23" t="n">
        <x:v>1</x:v>
      </x:c>
      <x:c r="Q107" s="23" t="n">
        <x:f t="shared" si="19"/>
        <x:v>0.002777272727273017</x:v>
      </x:c>
    </x:row>
    <x:row r="108">
      <x:c r="A108" s="24" t="n">
        <x:v>100</x:v>
      </x:c>
      <x:c r="B108" s="25" t="str">
        <x:v>新北市</x:v>
      </x:c>
      <x:c r="C108" s="25" t="str">
        <x:v>三重區</x:v>
      </x:c>
      <x:c r="D108" s="26" t="str">
        <x:v>捷運三和國中站(2號出口)</x:v>
      </x:c>
      <x:c r="E108" s="27" t="n">
        <x:v>295.8</x:v>
      </x:c>
      <x:c r="F108" s="27" t="n">
        <x:v>341.2</x:v>
      </x:c>
      <x:c r="G108" s="27" t="n">
        <x:f t="shared" si="15"/>
        <x:v>45.39999999999998</x:v>
      </x:c>
      <x:c r="H108" s="28" t="n">
        <x:f t="shared" si="16"/>
        <x:v>0.1534820824881676</x:v>
      </x:c>
      <x:c r="I108" s="28" t="n">
        <x:v>0.750464141414141</x:v>
      </x:c>
      <x:c r="J108" s="28" t="n">
        <x:v>0.737225555555556</x:v>
      </x:c>
      <x:c r="K108" s="28" t="n">
        <x:f t="shared" si="17"/>
        <x:v>-0.01323858585858495</x:v>
      </x:c>
      <x:c r="L108" s="28" t="n">
        <x:v>0.882824242424242</x:v>
      </x:c>
      <x:c r="M108" s="28" t="n">
        <x:v>0.874446666666667</x:v>
      </x:c>
      <x:c r="N108" s="28" t="n">
        <x:f t="shared" si="18"/>
        <x:v>-0.008377575757574918</x:v>
      </x:c>
      <x:c r="O108" s="28" t="n">
        <x:v>0.515663636363636</x:v>
      </x:c>
      <x:c r="P108" s="28" t="n">
        <x:v>0.615553333333333</x:v>
      </x:c>
      <x:c r="Q108" s="28" t="n">
        <x:f t="shared" si="19"/>
        <x:v>0.09988969696969696</x:v>
      </x:c>
    </x:row>
    <x:row r="109">
      <x:c r="A109" s="19" t="n">
        <x:v>101</x:v>
      </x:c>
      <x:c r="B109" s="20" t="str">
        <x:v>新北市</x:v>
      </x:c>
      <x:c r="C109" s="20" t="str">
        <x:v>板橋區</x:v>
      </x:c>
      <x:c r="D109" s="21" t="str">
        <x:v>新府區運路口</x:v>
      </x:c>
      <x:c r="E109" s="22" t="n">
        <x:v>123.1</x:v>
      </x:c>
      <x:c r="F109" s="22" t="n">
        <x:v>167.8</x:v>
      </x:c>
      <x:c r="G109" s="22" t="n">
        <x:f t="shared" si="15"/>
        <x:v>44.70000000000002</x:v>
      </x:c>
      <x:c r="H109" s="23" t="n">
        <x:f t="shared" si="16"/>
        <x:v>0.3631194151096671</x:v>
      </x:c>
      <x:c r="I109" s="23" t="n">
        <x:v>0.82954494949495</x:v>
      </x:c>
      <x:c r="J109" s="23" t="n">
        <x:v>0.887408888888889</x:v>
      </x:c>
      <x:c r="K109" s="23" t="n">
        <x:f t="shared" si="17"/>
        <x:v>0.05786393939393908</x:v>
      </x:c>
      <x:c r="L109" s="23" t="n">
        <x:v>0.906816666666667</x:v>
      </x:c>
      <x:c r="M109" s="23" t="n">
        <x:v>0.981113333333333</x:v>
      </x:c>
      <x:c r="N109" s="23" t="n">
        <x:f t="shared" si="18"/>
        <x:v>0.0742966666666659</x:v>
      </x:c>
      <x:c r="O109" s="23" t="n">
        <x:v>0.881059090909091</x:v>
      </x:c>
      <x:c r="P109" s="23" t="n">
        <x:v>0.96334</x:v>
      </x:c>
      <x:c r="Q109" s="23" t="n">
        <x:f t="shared" si="19"/>
        <x:v>0.08228090909090902</x:v>
      </x:c>
    </x:row>
    <x:row r="110">
      <x:c r="A110" s="24" t="n">
        <x:v>102</x:v>
      </x:c>
      <x:c r="B110" s="25" t="str">
        <x:v>新北市</x:v>
      </x:c>
      <x:c r="C110" s="25" t="str">
        <x:v>板橋區</x:v>
      </x:c>
      <x:c r="D110" s="26" t="str">
        <x:v>捷運板橋站(1號出口)</x:v>
      </x:c>
      <x:c r="E110" s="27" t="n">
        <x:v>455.6</x:v>
      </x:c>
      <x:c r="F110" s="27" t="n">
        <x:v>500.2</x:v>
      </x:c>
      <x:c r="G110" s="27" t="n">
        <x:f t="shared" si="15"/>
        <x:v>44.599999999999966</x:v>
      </x:c>
      <x:c r="H110" s="28" t="n">
        <x:f t="shared" si="16"/>
        <x:v>0.09789288849868298</x:v>
      </x:c>
      <x:c r="I110" s="28" t="n">
        <x:v>0.816455808080808</x:v>
      </x:c>
      <x:c r="J110" s="28" t="n">
        <x:v>0.86667</x:v>
      </x:c>
      <x:c r="K110" s="28" t="n">
        <x:f t="shared" si="17"/>
        <x:v>0.050214191919192075</x:v>
      </x:c>
      <x:c r="L110" s="28" t="n">
        <x:v>1</x:v>
      </x:c>
      <x:c r="M110" s="28" t="n">
        <x:v>1</x:v>
      </x:c>
      <x:c r="N110" s="28" t="n">
        <x:f t="shared" si="18"/>
        <x:v>0</x:v>
      </x:c>
      <x:c r="O110" s="28" t="n">
        <x:v>0.787624242424242</x:v>
      </x:c>
      <x:c r="P110" s="28" t="n">
        <x:v>0.826673333333334</x:v>
      </x:c>
      <x:c r="Q110" s="28" t="n">
        <x:f t="shared" si="19"/>
        <x:v>0.03904909090909203</x:v>
      </x:c>
    </x:row>
    <x:row r="111">
      <x:c r="A111" s="19" t="n">
        <x:v>103</x:v>
      </x:c>
      <x:c r="B111" s="20" t="str">
        <x:v>新北市</x:v>
      </x:c>
      <x:c r="C111" s="20" t="str">
        <x:v>板橋區</x:v>
      </x:c>
      <x:c r="D111" s="21" t="str">
        <x:v>捷運江子翠站(1號出口)</x:v>
      </x:c>
      <x:c r="E111" s="22" t="n">
        <x:v>140.8</x:v>
      </x:c>
      <x:c r="F111" s="22" t="n">
        <x:v>185</x:v>
      </x:c>
      <x:c r="G111" s="22" t="n">
        <x:f t="shared" si="15"/>
        <x:v>44.19999999999999</x:v>
      </x:c>
      <x:c r="H111" s="23" t="n">
        <x:f t="shared" si="16"/>
        <x:v>0.3139204545454544</x:v>
      </x:c>
      <x:c r="I111" s="23" t="n">
        <x:v>0.728702777777778</x:v>
      </x:c>
      <x:c r="J111" s="23" t="n">
        <x:v>0.726483333333333</x:v>
      </x:c>
      <x:c r="K111" s="23" t="n">
        <x:f t="shared" si="17"/>
        <x:v>-0.0022194444444449957</x:v>
      </x:c>
      <x:c r="L111" s="23" t="n">
        <x:v>1</x:v>
      </x:c>
      <x:c r="M111" s="23" t="n">
        <x:v>1</x:v>
      </x:c>
      <x:c r="N111" s="23" t="n">
        <x:f t="shared" si="18"/>
        <x:v>0</x:v>
      </x:c>
      <x:c r="O111" s="23" t="n">
        <x:v>0.447472727272727</x:v>
      </x:c>
      <x:c r="P111" s="23" t="n">
        <x:v>0.530006666666667</x:v>
      </x:c>
      <x:c r="Q111" s="23" t="n">
        <x:f t="shared" si="19"/>
        <x:v>0.08253393939393994</x:v>
      </x:c>
    </x:row>
    <x:row r="112">
      <x:c r="A112" s="24" t="n">
        <x:v>104</x:v>
      </x:c>
      <x:c r="B112" s="25" t="str">
        <x:v>新北市</x:v>
      </x:c>
      <x:c r="C112" s="25" t="str">
        <x:v>新店區</x:v>
      </x:c>
      <x:c r="D112" s="26" t="str">
        <x:v>捷運七張站(1號出口)</x:v>
      </x:c>
      <x:c r="E112" s="27" t="n">
        <x:v>317.5</x:v>
      </x:c>
      <x:c r="F112" s="27" t="n">
        <x:v>360.8</x:v>
      </x:c>
      <x:c r="G112" s="27" t="n">
        <x:f t="shared" si="15"/>
        <x:v>43.30000000000001</x:v>
      </x:c>
      <x:c r="H112" s="28" t="n">
        <x:f t="shared" si="16"/>
        <x:v>0.13637795275590556</x:v>
      </x:c>
      <x:c r="I112" s="28" t="n">
        <x:v>0.807660101010101</x:v>
      </x:c>
      <x:c r="J112" s="28" t="n">
        <x:v>0.923702222222222</x:v>
      </x:c>
      <x:c r="K112" s="28" t="n">
        <x:f t="shared" si="17"/>
        <x:v>0.11604212121212099</x:v>
      </x:c>
      <x:c r="L112" s="28" t="n">
        <x:v>0.908334848484849</x:v>
      </x:c>
      <x:c r="M112" s="28" t="n">
        <x:v>0.968886666666667</x:v>
      </x:c>
      <x:c r="N112" s="28" t="n">
        <x:f t="shared" si="18"/>
        <x:v>0.060551818181817985</x:v>
      </x:c>
      <x:c r="O112" s="28" t="n">
        <x:v>0.783837878787879</x:v>
      </x:c>
      <x:c r="P112" s="28" t="n">
        <x:v>0.935553333333333</x:v>
      </x:c>
      <x:c r="Q112" s="28" t="n">
        <x:f t="shared" si="19"/>
        <x:v>0.151715454545454</x:v>
      </x:c>
    </x:row>
    <x:row r="113">
      <x:c r="A113" s="19" t="n">
        <x:v>105</x:v>
      </x:c>
      <x:c r="B113" s="20" t="str">
        <x:v>新北市</x:v>
      </x:c>
      <x:c r="C113" s="20" t="str">
        <x:v>永和區</x:v>
      </x:c>
      <x:c r="D113" s="21" t="str">
        <x:v>永福橋</x:v>
      </x:c>
      <x:c r="E113" s="22" t="n">
        <x:v>164.9</x:v>
      </x:c>
      <x:c r="F113" s="22" t="n">
        <x:v>207.8</x:v>
      </x:c>
      <x:c r="G113" s="22" t="n">
        <x:f t="shared" si="15"/>
        <x:v>42.900000000000006</x:v>
      </x:c>
      <x:c r="H113" s="23" t="n">
        <x:f t="shared" si="16"/>
        <x:v>0.2601576713159491</x:v>
      </x:c>
      <x:c r="I113" s="23" t="n">
        <x:v>0.889563131313131</x:v>
      </x:c>
      <x:c r="J113" s="23" t="n">
        <x:v>0.880186666666667</x:v>
      </x:c>
      <x:c r="K113" s="23" t="n">
        <x:f t="shared" si="17"/>
        <x:v>-0.009376464646464022</x:v>
      </x:c>
      <x:c r="L113" s="23" t="n">
        <x:v>0.80985</x:v>
      </x:c>
      <x:c r="M113" s="23" t="n">
        <x:v>0.86</x:v>
      </x:c>
      <x:c r="N113" s="23" t="n">
        <x:f t="shared" si="18"/>
        <x:v>0.05015000000000003</x:v>
      </x:c>
      <x:c r="O113" s="23" t="n">
        <x:v>1</x:v>
      </x:c>
      <x:c r="P113" s="23" t="n">
        <x:v>0.978886666666667</x:v>
      </x:c>
      <x:c r="Q113" s="23" t="n">
        <x:f t="shared" si="19"/>
        <x:v>-0.021113333333332984</x:v>
      </x:c>
    </x:row>
    <x:row r="114">
      <x:c r="A114" s="24" t="n">
        <x:v>106</x:v>
      </x:c>
      <x:c r="B114" s="25" t="str">
        <x:v>新北市</x:v>
      </x:c>
      <x:c r="C114" s="25" t="str">
        <x:v>板橋區</x:v>
      </x:c>
      <x:c r="D114" s="26" t="str">
        <x:v>浮洲合宜住宅(樂群路)</x:v>
      </x:c>
      <x:c r="E114" s="27" t="n">
        <x:v>145.3</x:v>
      </x:c>
      <x:c r="F114" s="27" t="n">
        <x:v>187.8</x:v>
      </x:c>
      <x:c r="G114" s="27" t="n">
        <x:f t="shared" si="15"/>
        <x:v>42.5</x:v>
      </x:c>
      <x:c r="H114" s="28" t="n">
        <x:f t="shared" si="16"/>
        <x:v>0.2924982794218857</x:v>
      </x:c>
      <x:c r="I114" s="28" t="n">
        <x:v>0.843602525252525</x:v>
      </x:c>
      <x:c r="J114" s="28" t="n">
        <x:v>0.793521111111111</x:v>
      </x:c>
      <x:c r="K114" s="28" t="n">
        <x:f t="shared" si="17"/>
        <x:v>-0.05008141414141398</x:v>
      </x:c>
      <x:c r="L114" s="28" t="n">
        <x:v>0.50025303030303</x:v>
      </x:c>
      <x:c r="M114" s="28" t="n">
        <x:v>0.294453333333333</x:v>
      </x:c>
      <x:c r="N114" s="28" t="n">
        <x:f t="shared" si="18"/>
        <x:v>-0.20579969696969702</x:v>
      </x:c>
      <x:c r="O114" s="28" t="n">
        <x:v>1</x:v>
      </x:c>
      <x:c r="P114" s="28" t="n">
        <x:v>0.995553333333333</x:v>
      </x:c>
      <x:c r="Q114" s="28" t="n">
        <x:f t="shared" si="19"/>
        <x:v>-0.004446666666667043</x:v>
      </x:c>
    </x:row>
    <x:row r="115">
      <x:c r="A115" s="19" t="n">
        <x:v>107</x:v>
      </x:c>
      <x:c r="B115" s="20" t="str">
        <x:v>新北市</x:v>
      </x:c>
      <x:c r="C115" s="20" t="str">
        <x:v>永和區</x:v>
      </x:c>
      <x:c r="D115" s="21" t="str">
        <x:v>捷運頂溪站(2號出口)</x:v>
      </x:c>
      <x:c r="E115" s="22" t="n">
        <x:v>332</x:v>
      </x:c>
      <x:c r="F115" s="22" t="n">
        <x:v>373.4</x:v>
      </x:c>
      <x:c r="G115" s="22" t="n">
        <x:f t="shared" si="15"/>
        <x:v>41.39999999999998</x:v>
      </x:c>
      <x:c r="H115" s="23" t="n">
        <x:f t="shared" si="16"/>
        <x:v>0.12469879518072283</x:v>
      </x:c>
      <x:c r="I115" s="23" t="n">
        <x:v>0.758418686868687</x:v>
      </x:c>
      <x:c r="J115" s="23" t="n">
        <x:v>0.767774444444444</x:v>
      </x:c>
      <x:c r="K115" s="23" t="n">
        <x:f t="shared" si="17"/>
        <x:v>0.009355757575757018</x:v>
      </x:c>
      <x:c r="L115" s="23" t="n">
        <x:v>0.978283333333333</x:v>
      </x:c>
      <x:c r="M115" s="23" t="n">
        <x:v>0.974433333333333</x:v>
      </x:c>
      <x:c r="N115" s="23" t="n">
        <x:f t="shared" si="18"/>
        <x:v>-0.003849999999999909</x:v>
      </x:c>
      <x:c r="O115" s="23" t="n">
        <x:v>0.535610606060606</x:v>
      </x:c>
      <x:c r="P115" s="23" t="n">
        <x:v>0.580006666666667</x:v>
      </x:c>
      <x:c r="Q115" s="23" t="n">
        <x:f t="shared" si="19"/>
        <x:v>0.04439606060606105</x:v>
      </x:c>
    </x:row>
    <x:row r="116">
      <x:c r="A116" s="24" t="n">
        <x:v>108</x:v>
      </x:c>
      <x:c r="B116" s="25" t="str">
        <x:v>新北市</x:v>
      </x:c>
      <x:c r="C116" s="25" t="str">
        <x:v>土城區</x:v>
      </x:c>
      <x:c r="D116" s="26" t="str">
        <x:v>捷運土城站(1號出口)</x:v>
      </x:c>
      <x:c r="E116" s="27" t="n">
        <x:v>141.6</x:v>
      </x:c>
      <x:c r="F116" s="27" t="n">
        <x:v>182.8</x:v>
      </x:c>
      <x:c r="G116" s="27" t="n">
        <x:f t="shared" si="15"/>
        <x:v>41.20000000000002</x:v>
      </x:c>
      <x:c r="H116" s="28" t="n">
        <x:f t="shared" si="16"/>
        <x:v>0.2909604519774013</x:v>
      </x:c>
      <x:c r="I116" s="28" t="n">
        <x:v>0.878536111111111</x:v>
      </x:c>
      <x:c r="J116" s="28" t="n">
        <x:v>0.813705555555556</x:v>
      </x:c>
      <x:c r="K116" s="28" t="n">
        <x:f t="shared" si="17"/>
        <x:v>-0.06483055555555495</x:v>
      </x:c>
      <x:c r="L116" s="28" t="n">
        <x:v>0.998737878787879</x:v>
      </x:c>
      <x:c r="M116" s="28" t="n">
        <x:v>0.99778</x:v>
      </x:c>
      <x:c r="N116" s="28" t="n">
        <x:f t="shared" si="18"/>
        <x:v>-0.0009578787878790074</x:v>
      </x:c>
      <x:c r="O116" s="28" t="n">
        <x:v>0.791668181818182</x:v>
      </x:c>
      <x:c r="P116" s="28" t="n">
        <x:v>0.717773333333333</x:v>
      </x:c>
      <x:c r="Q116" s="28" t="n">
        <x:f t="shared" si="19"/>
        <x:v>-0.07389484848484895</x:v>
      </x:c>
    </x:row>
    <x:row r="117">
      <x:c r="A117" s="19" t="n">
        <x:v>109</x:v>
      </x:c>
      <x:c r="B117" s="20" t="str">
        <x:v>新北市</x:v>
      </x:c>
      <x:c r="C117" s="20" t="str">
        <x:v>三重區</x:v>
      </x:c>
      <x:c r="D117" s="21" t="str">
        <x:v>捷運三重國小站</x:v>
      </x:c>
      <x:c r="E117" s="22" t="n">
        <x:v>521.5</x:v>
      </x:c>
      <x:c r="F117" s="22" t="n">
        <x:v>562.4</x:v>
      </x:c>
      <x:c r="G117" s="22" t="n">
        <x:f t="shared" si="15"/>
        <x:v>40.89999999999998</x:v>
      </x:c>
      <x:c r="H117" s="23" t="n">
        <x:f t="shared" si="16"/>
        <x:v>0.07842761265580053</x:v>
      </x:c>
      <x:c r="I117" s="23" t="n">
        <x:v>0.848948484848485</x:v>
      </x:c>
      <x:c r="J117" s="23" t="n">
        <x:v>0.859073333333333</x:v>
      </x:c>
      <x:c r="K117" s="23" t="n">
        <x:f t="shared" si="17"/>
        <x:v>0.01012484848484807</x:v>
      </x:c>
      <x:c r="L117" s="23" t="n">
        <x:v>1</x:v>
      </x:c>
      <x:c r="M117" s="23" t="n">
        <x:v>1</x:v>
      </x:c>
      <x:c r="N117" s="23" t="n">
        <x:f t="shared" si="18"/>
        <x:v>0</x:v>
      </x:c>
      <x:c r="O117" s="23" t="n">
        <x:v>0.771972727272727</x:v>
      </x:c>
      <x:c r="P117" s="23" t="n">
        <x:v>0.849993333333333</x:v>
      </x:c>
      <x:c r="Q117" s="23" t="n">
        <x:f t="shared" si="19"/>
        <x:v>0.07802060606060601</x:v>
      </x:c>
    </x:row>
    <x:row r="118">
      <x:c r="A118" s="24" t="n">
        <x:v>110</x:v>
      </x:c>
      <x:c r="B118" s="25" t="str">
        <x:v>新北市</x:v>
      </x:c>
      <x:c r="C118" s="25" t="str">
        <x:v>新店區</x:v>
      </x:c>
      <x:c r="D118" s="26" t="str">
        <x:v>忠誠里(北新路2段97巷)</x:v>
      </x:c>
      <x:c r="E118" s="27" t="n">
        <x:v>118.2</x:v>
      </x:c>
      <x:c r="F118" s="27" t="n">
        <x:v>158.2</x:v>
      </x:c>
      <x:c r="G118" s="27" t="n">
        <x:f t="shared" si="15"/>
        <x:v>39.999999999999986</x:v>
      </x:c>
      <x:c r="H118" s="28" t="n">
        <x:f t="shared" si="16"/>
        <x:v>0.3384094754653129</x:v>
      </x:c>
      <x:c r="I118" s="28" t="n">
        <x:v>0.809974242424243</x:v>
      </x:c>
      <x:c r="J118" s="28" t="n">
        <x:v>0.818147777777778</x:v>
      </x:c>
      <x:c r="K118" s="28" t="n">
        <x:f t="shared" si="17"/>
        <x:v>0.008173535353535044</x:v>
      </x:c>
      <x:c r="L118" s="28" t="n">
        <x:v>0.914895454545455</x:v>
      </x:c>
      <x:c r="M118" s="28" t="n">
        <x:v>0.943333333333333</x:v>
      </x:c>
      <x:c r="N118" s="28" t="n">
        <x:f t="shared" si="18"/>
        <x:v>0.028437878787878068</x:v>
      </x:c>
      <x:c r="O118" s="28" t="n">
        <x:v>0.768684848484849</x:v>
      </x:c>
      <x:c r="P118" s="28" t="n">
        <x:v>0.828893333333333</x:v>
      </x:c>
      <x:c r="Q118" s="28" t="n">
        <x:f t="shared" si="19"/>
        <x:v>0.06020848484848407</x:v>
      </x:c>
    </x:row>
    <x:row r="119">
      <x:c r="A119" s="19" t="n">
        <x:v>111</x:v>
      </x:c>
      <x:c r="B119" s="20" t="str">
        <x:v>新北市</x:v>
      </x:c>
      <x:c r="C119" s="20" t="str">
        <x:v>板橋區</x:v>
      </x:c>
      <x:c r="D119" s="21" t="str">
        <x:v>莊敬公園</x:v>
      </x:c>
      <x:c r="E119" s="22" t="n">
        <x:v>177.1</x:v>
      </x:c>
      <x:c r="F119" s="22" t="n">
        <x:v>216.6</x:v>
      </x:c>
      <x:c r="G119" s="22" t="n">
        <x:f t="shared" si="15"/>
        <x:v>39.5</x:v>
      </x:c>
      <x:c r="H119" s="23" t="n">
        <x:f t="shared" si="16"/>
        <x:v>0.2230378317334839</x:v>
      </x:c>
      <x:c r="I119" s="23" t="n">
        <x:v>0.866793434343434</x:v>
      </x:c>
      <x:c r="J119" s="23" t="n">
        <x:v>0.855186666666667</x:v>
      </x:c>
      <x:c r="K119" s="23" t="n">
        <x:f t="shared" si="17"/>
        <x:v>-0.011606767676767049</x:v>
      </x:c>
      <x:c r="L119" s="23" t="n">
        <x:v>0.712877272727273</x:v>
      </x:c>
      <x:c r="M119" s="23" t="n">
        <x:v>0.661106666666667</x:v>
      </x:c>
      <x:c r="N119" s="23" t="n">
        <x:f t="shared" si="18"/>
        <x:v>-0.05177060606060602</x:v>
      </x:c>
      <x:c r="O119" s="23" t="n">
        <x:v>0.910857575757576</x:v>
      </x:c>
      <x:c r="P119" s="23" t="n">
        <x:v>0.958893333333333</x:v>
      </x:c>
      <x:c r="Q119" s="23" t="n">
        <x:f t="shared" si="19"/>
        <x:v>0.048035757575757065</x:v>
      </x:c>
    </x:row>
    <x:row r="120">
      <x:c r="A120" s="24" t="n">
        <x:v>112</x:v>
      </x:c>
      <x:c r="B120" s="25" t="str">
        <x:v>新北市</x:v>
      </x:c>
      <x:c r="C120" s="25" t="str">
        <x:v>新莊區</x:v>
      </x:c>
      <x:c r="D120" s="26" t="str">
        <x:v>中興中正路口(泰坤建設)</x:v>
      </x:c>
      <x:c r="E120" s="27" t="n">
        <x:v>128.9</x:v>
      </x:c>
      <x:c r="F120" s="27" t="n">
        <x:v>168.4</x:v>
      </x:c>
      <x:c r="G120" s="27" t="n">
        <x:f t="shared" si="15"/>
        <x:v>39.5</x:v>
      </x:c>
      <x:c r="H120" s="28" t="n">
        <x:f t="shared" si="16"/>
        <x:v>0.3064391000775795</x:v>
      </x:c>
      <x:c r="I120" s="28" t="n">
        <x:v>0.893434595959596</x:v>
      </x:c>
      <x:c r="J120" s="28" t="n">
        <x:v>0.981111111111111</x:v>
      </x:c>
      <x:c r="K120" s="28" t="n">
        <x:f t="shared" si="17"/>
        <x:v>0.08767651515151509</x:v>
      </x:c>
      <x:c r="L120" s="28" t="n">
        <x:v>0.824498484848485</x:v>
      </x:c>
      <x:c r="M120" s="28" t="n">
        <x:v>1</x:v>
      </x:c>
      <x:c r="N120" s="28" t="n">
        <x:f t="shared" si="18"/>
        <x:v>0.17550151515151502</x:v>
      </x:c>
      <x:c r="O120" s="28" t="n">
        <x:v>0.917677272727273</x:v>
      </x:c>
      <x:c r="P120" s="28" t="n">
        <x:v>0.966666666666667</x:v>
      </x:c>
      <x:c r="Q120" s="28" t="n">
        <x:f t="shared" si="19"/>
        <x:v>0.048989393939394055</x:v>
      </x:c>
    </x:row>
    <x:row r="121">
      <x:c r="A121" s="19" t="n">
        <x:v>113</x:v>
      </x:c>
      <x:c r="B121" s="20" t="str">
        <x:v>新北市</x:v>
      </x:c>
      <x:c r="C121" s="20" t="str">
        <x:v>板橋區</x:v>
      </x:c>
      <x:c r="D121" s="21" t="str">
        <x:v>中正路145巷口</x:v>
      </x:c>
      <x:c r="E121" s="22" t="n">
        <x:v>111.4</x:v>
      </x:c>
      <x:c r="F121" s="22" t="n">
        <x:v>150</x:v>
      </x:c>
      <x:c r="G121" s="22" t="n">
        <x:f t="shared" si="15"/>
        <x:v>38.599999999999994</x:v>
      </x:c>
      <x:c r="H121" s="23" t="n">
        <x:f t="shared" si="16"/>
        <x:v>0.3464991023339317</x:v>
      </x:c>
      <x:c r="I121" s="23" t="n">
        <x:v>0.892045454545455</x:v>
      </x:c>
      <x:c r="J121" s="23" t="n">
        <x:v>0.817775555555556</x:v>
      </x:c>
      <x:c r="K121" s="23" t="n">
        <x:f t="shared" si="17"/>
        <x:v>-0.074269898989899</x:v>
      </x:c>
      <x:c r="L121" s="23" t="n">
        <x:v>0.661362121212121</x:v>
      </x:c>
      <x:c r="M121" s="23" t="n">
        <x:v>0.503326666666667</x:v>
      </x:c>
      <x:c r="N121" s="23" t="n">
        <x:f t="shared" si="18"/>
        <x:v>-0.15803545454545398</x:v>
      </x:c>
      <x:c r="O121" s="23" t="n">
        <x:v>0.956819696969697</x:v>
      </x:c>
      <x:c r="P121" s="23" t="n">
        <x:v>0.9111</x:v>
      </x:c>
      <x:c r="Q121" s="23" t="n">
        <x:f t="shared" si="19"/>
        <x:v>-0.04571969696969702</x:v>
      </x:c>
    </x:row>
    <x:row r="122">
      <x:c r="A122" s="24" t="n">
        <x:v>114</x:v>
      </x:c>
      <x:c r="B122" s="25" t="str">
        <x:v>新北市</x:v>
      </x:c>
      <x:c r="C122" s="25" t="str">
        <x:v>板橋區</x:v>
      </x:c>
      <x:c r="D122" s="26" t="str">
        <x:v>雙十萬板路口</x:v>
      </x:c>
      <x:c r="E122" s="27" t="n">
        <x:v>142.9</x:v>
      </x:c>
      <x:c r="F122" s="27" t="n">
        <x:v>180.8</x:v>
      </x:c>
      <x:c r="G122" s="27" t="n">
        <x:f t="shared" si="15"/>
        <x:v>37.900000000000006</x:v>
      </x:c>
      <x:c r="H122" s="28" t="n">
        <x:f t="shared" si="16"/>
        <x:v>0.26522043386983907</x:v>
      </x:c>
      <x:c r="I122" s="28" t="n">
        <x:v>0.842382828282828</x:v>
      </x:c>
      <x:c r="J122" s="28" t="n">
        <x:v>0.823146666666667</x:v>
      </x:c>
      <x:c r="K122" s="28" t="n">
        <x:f t="shared" si="17"/>
        <x:v>-0.01923616161616093</x:v>
      </x:c>
      <x:c r="L122" s="28" t="n">
        <x:v>0.530804545454545</x:v>
      </x:c>
      <x:c r="M122" s="28" t="n">
        <x:v>0.56778</x:v>
      </x:c>
      <x:c r="N122" s="28" t="n">
        <x:f t="shared" si="18"/>
        <x:v>0.03697545454545492</x:v>
      </x:c>
      <x:c r="O122" s="28" t="n">
        <x:v>1</x:v>
      </x:c>
      <x:c r="P122" s="28" t="n">
        <x:v>0.994446666666667</x:v>
      </x:c>
      <x:c r="Q122" s="28" t="n">
        <x:f t="shared" si="19"/>
        <x:v>-0.005553333333332966</x:v>
      </x:c>
    </x:row>
    <x:row r="123">
      <x:c r="A123" s="19" t="n">
        <x:v>115</x:v>
      </x:c>
      <x:c r="B123" s="20" t="str">
        <x:v>新北市</x:v>
      </x:c>
      <x:c r="C123" s="20" t="str">
        <x:v>板橋區</x:v>
      </x:c>
      <x:c r="D123" s="21" t="str">
        <x:v>板橋重慶公園</x:v>
      </x:c>
      <x:c r="E123" s="22" t="n">
        <x:v>209.6</x:v>
      </x:c>
      <x:c r="F123" s="22" t="n">
        <x:v>247.4</x:v>
      </x:c>
      <x:c r="G123" s="22" t="n">
        <x:f t="shared" si="15"/>
        <x:v>37.80000000000001</x:v>
      </x:c>
      <x:c r="H123" s="23" t="n">
        <x:f t="shared" si="16"/>
        <x:v>0.18034351145038174</x:v>
      </x:c>
      <x:c r="I123" s="23" t="n">
        <x:v>0.892298737373737</x:v>
      </x:c>
      <x:c r="J123" s="23" t="n">
        <x:v>0.944997777777778</x:v>
      </x:c>
      <x:c r="K123" s="23" t="n">
        <x:f t="shared" si="17"/>
        <x:v>0.05269904040404105</x:v>
      </x:c>
      <x:c r="L123" s="23" t="n">
        <x:v>0.632327272727273</x:v>
      </x:c>
      <x:c r="M123" s="23" t="n">
        <x:v>0.867773333333333</x:v>
      </x:c>
      <x:c r="N123" s="23" t="n">
        <x:f t="shared" si="18"/>
        <x:v>0.23544606060606</x:v>
      </x:c>
      <x:c r="O123" s="23" t="n">
        <x:v>0.997727272727273</x:v>
      </x:c>
      <x:c r="P123" s="23" t="n">
        <x:v>1</x:v>
      </x:c>
      <x:c r="Q123" s="23" t="n">
        <x:f t="shared" si="19"/>
        <x:v>0.002272727272726982</x:v>
      </x:c>
    </x:row>
    <x:row r="124">
      <x:c r="A124" s="24" t="n">
        <x:v>116</x:v>
      </x:c>
      <x:c r="B124" s="25" t="str">
        <x:v>新北市</x:v>
      </x:c>
      <x:c r="C124" s="25" t="str">
        <x:v>板橋區</x:v>
      </x:c>
      <x:c r="D124" s="26" t="str">
        <x:v>中山國中</x:v>
      </x:c>
      <x:c r="E124" s="27" t="n">
        <x:v>204</x:v>
      </x:c>
      <x:c r="F124" s="27" t="n">
        <x:v>241.8</x:v>
      </x:c>
      <x:c r="G124" s="27" t="n">
        <x:f t="shared" si="15"/>
        <x:v>37.80000000000001</x:v>
      </x:c>
      <x:c r="H124" s="28" t="n">
        <x:f t="shared" si="16"/>
        <x:v>0.1852941176470589</x:v>
      </x:c>
      <x:c r="I124" s="28" t="n">
        <x:v>0.855428535353536</x:v>
      </x:c>
      <x:c r="J124" s="28" t="n">
        <x:v>0.880002222222222</x:v>
      </x:c>
      <x:c r="K124" s="28" t="n">
        <x:f t="shared" si="17"/>
        <x:v>0.024573686868685995</x:v>
      </x:c>
      <x:c r="L124" s="28" t="n">
        <x:v>0.990909090909091</x:v>
      </x:c>
      <x:c r="M124" s="28" t="n">
        <x:v>0.94444</x:v>
      </x:c>
      <x:c r="N124" s="28" t="n">
        <x:f t="shared" si="18"/>
        <x:v>-0.046469090909091015</x:v>
      </x:c>
      <x:c r="O124" s="28" t="n">
        <x:v>0.768940909090909</x:v>
      </x:c>
      <x:c r="P124" s="28" t="n">
        <x:v>0.908886666666667</x:v>
      </x:c>
      <x:c r="Q124" s="28" t="n">
        <x:f t="shared" si="19"/>
        <x:v>0.139945757575758</x:v>
      </x:c>
    </x:row>
    <x:row r="125">
      <x:c r="A125" s="19" t="n">
        <x:v>117</x:v>
      </x:c>
      <x:c r="B125" s="20" t="str">
        <x:v>新北市</x:v>
      </x:c>
      <x:c r="C125" s="20" t="str">
        <x:v>板橋區</x:v>
      </x:c>
      <x:c r="D125" s="21" t="str">
        <x:v>捷運新埔站(4號出口)</x:v>
      </x:c>
      <x:c r="E125" s="22" t="n">
        <x:v>350</x:v>
      </x:c>
      <x:c r="F125" s="22" t="n">
        <x:v>387.8</x:v>
      </x:c>
      <x:c r="G125" s="22" t="n">
        <x:f t="shared" si="15"/>
        <x:v>37.80000000000001</x:v>
      </x:c>
      <x:c r="H125" s="23" t="n">
        <x:f t="shared" si="16"/>
        <x:v>0.10800000000000003</x:v>
      </x:c>
      <x:c r="I125" s="23" t="n">
        <x:v>0.82377904040404</x:v>
      </x:c>
      <x:c r="J125" s="23" t="n">
        <x:v>0.825552222222222</x:v>
      </x:c>
      <x:c r="K125" s="23" t="n">
        <x:f t="shared" si="17"/>
        <x:v>0.0017731818181819792</x:v>
      </x:c>
      <x:c r="L125" s="23" t="n">
        <x:v>1</x:v>
      </x:c>
      <x:c r="M125" s="23" t="n">
        <x:v>1</x:v>
      </x:c>
      <x:c r="N125" s="23" t="n">
        <x:f t="shared" si="18"/>
        <x:v>0</x:v>
      </x:c>
      <x:c r="O125" s="23" t="n">
        <x:v>0.723484848484849</x:v>
      </x:c>
      <x:c r="P125" s="23" t="n">
        <x:v>0.774433333333333</x:v>
      </x:c>
      <x:c r="Q125" s="23" t="n">
        <x:f t="shared" si="19"/>
        <x:v>0.05094848484848402</x:v>
      </x:c>
    </x:row>
    <x:row r="126">
      <x:c r="A126" s="24" t="n">
        <x:v>118</x:v>
      </x:c>
      <x:c r="B126" s="25" t="str">
        <x:v>新北市</x:v>
      </x:c>
      <x:c r="C126" s="25" t="str">
        <x:v>永和區</x:v>
      </x:c>
      <x:c r="D126" s="26" t="str">
        <x:v>永和耕莘醫院</x:v>
      </x:c>
      <x:c r="E126" s="27" t="n">
        <x:v>179</x:v>
      </x:c>
      <x:c r="F126" s="27" t="n">
        <x:v>216.8</x:v>
      </x:c>
      <x:c r="G126" s="27" t="n">
        <x:f t="shared" si="15"/>
        <x:v>37.80000000000001</x:v>
      </x:c>
      <x:c r="H126" s="28" t="n">
        <x:f t="shared" si="16"/>
        <x:v>0.21117318435754195</x:v>
      </x:c>
      <x:c r="I126" s="28" t="n">
        <x:v>0.794107070707071</x:v>
      </x:c>
      <x:c r="J126" s="28" t="n">
        <x:v>0.78852</x:v>
      </x:c>
      <x:c r="K126" s="28" t="n">
        <x:f t="shared" si="17"/>
        <x:v>-0.005587070707070985</x:v>
      </x:c>
      <x:c r="L126" s="28" t="n">
        <x:v>0.785351515151515</x:v>
      </x:c>
      <x:c r="M126" s="28" t="n">
        <x:v>0.92666</x:v>
      </x:c>
      <x:c r="N126" s="28" t="n">
        <x:f t="shared" si="18"/>
        <x:v>0.14130848484848502</x:v>
      </x:c>
      <x:c r="O126" s="28" t="n">
        <x:v>0.752271212121212</x:v>
      </x:c>
      <x:c r="P126" s="28" t="n">
        <x:v>0.72112</x:v>
      </x:c>
      <x:c r="Q126" s="28" t="n">
        <x:f t="shared" si="19"/>
        <x:v>-0.03115121212121197</x:v>
      </x:c>
    </x:row>
    <x:row r="127">
      <x:c r="A127" s="19" t="n">
        <x:v>119</x:v>
      </x:c>
      <x:c r="B127" s="20" t="str">
        <x:v>新北市</x:v>
      </x:c>
      <x:c r="C127" s="20" t="str">
        <x:v>板橋區</x:v>
      </x:c>
      <x:c r="D127" s="21" t="str">
        <x:v>捷運新埔站(3號出口)</x:v>
      </x:c>
      <x:c r="E127" s="22" t="n">
        <x:v>169.9</x:v>
      </x:c>
      <x:c r="F127" s="22" t="n">
        <x:v>207.4</x:v>
      </x:c>
      <x:c r="G127" s="22" t="n">
        <x:f t="shared" si="15"/>
        <x:v>37.5</x:v>
      </x:c>
      <x:c r="H127" s="23" t="n">
        <x:f t="shared" si="16"/>
        <x:v>0.22071806945261918</x:v>
      </x:c>
      <x:c r="I127" s="23" t="n">
        <x:v>0.777777525252525</x:v>
      </x:c>
      <x:c r="J127" s="23" t="n">
        <x:v>0.768147777777778</x:v>
      </x:c>
      <x:c r="K127" s="23" t="n">
        <x:f t="shared" si="17"/>
        <x:v>-0.009629747474746986</x:v>
      </x:c>
      <x:c r="L127" s="23" t="n">
        <x:v>1</x:v>
      </x:c>
      <x:c r="M127" s="23" t="n">
        <x:v>0.998886666666667</x:v>
      </x:c>
      <x:c r="N127" s="23" t="n">
        <x:f t="shared" si="18"/>
        <x:v>-0.0011133333333329665</x:v>
      </x:c>
      <x:c r="O127" s="23" t="n">
        <x:v>0.542927272727273</x:v>
      </x:c>
      <x:c r="P127" s="23" t="n">
        <x:v>0.673326666666667</x:v>
      </x:c>
      <x:c r="Q127" s="23" t="n">
        <x:f t="shared" si="19"/>
        <x:v>0.13039939393939393</x:v>
      </x:c>
    </x:row>
    <x:row r="128">
      <x:c r="A128" s="24" t="n">
        <x:v>120</x:v>
      </x:c>
      <x:c r="B128" s="25" t="str">
        <x:v>新北市</x:v>
      </x:c>
      <x:c r="C128" s="25" t="str">
        <x:v>新莊區</x:v>
      </x:c>
      <x:c r="D128" s="26" t="str">
        <x:v>中華自治街口</x:v>
      </x:c>
      <x:c r="E128" s="27" t="n">
        <x:v>120.2</x:v>
      </x:c>
      <x:c r="F128" s="27" t="n">
        <x:v>156.8</x:v>
      </x:c>
      <x:c r="G128" s="27" t="n">
        <x:f t="shared" si="15"/>
        <x:v>36.60000000000001</x:v>
      </x:c>
      <x:c r="H128" s="28" t="n">
        <x:f t="shared" si="16"/>
        <x:v>0.3044925124792014</x:v>
      </x:c>
      <x:c r="I128" s="28" t="n">
        <x:v>0.875757070707071</x:v>
      </x:c>
      <x:c r="J128" s="28" t="n">
        <x:v>0.914814444444444</x:v>
      </x:c>
      <x:c r="K128" s="28" t="n">
        <x:f t="shared" si="17"/>
        <x:v>0.03905737373737306</x:v>
      </x:c>
      <x:c r="L128" s="28" t="n">
        <x:v>0.785606060606061</x:v>
      </x:c>
      <x:c r="M128" s="28" t="n">
        <x:v>0.882213333333333</x:v>
      </x:c>
      <x:c r="N128" s="28" t="n">
        <x:f t="shared" si="18"/>
        <x:v>0.09660727272727199</x:v>
      </x:c>
      <x:c r="O128" s="28" t="n">
        <x:v>1</x:v>
      </x:c>
      <x:c r="P128" s="28" t="n">
        <x:v>0.952226666666667</x:v>
      </x:c>
      <x:c r="Q128" s="28" t="n">
        <x:f t="shared" si="19"/>
        <x:v>-0.047773333333333</x:v>
      </x:c>
    </x:row>
    <x:row r="129">
      <x:c r="A129" s="19" t="n">
        <x:v>121</x:v>
      </x:c>
      <x:c r="B129" s="20" t="str">
        <x:v>新北市</x:v>
      </x:c>
      <x:c r="C129" s="20" t="str">
        <x:v>新莊區</x:v>
      </x:c>
      <x:c r="D129" s="21" t="str">
        <x:v>捷運幸福站(2號出口)</x:v>
      </x:c>
      <x:c r="E129" s="22" t="n">
        <x:v>198</x:v>
      </x:c>
      <x:c r="F129" s="22" t="n">
        <x:v>234.4</x:v>
      </x:c>
      <x:c r="G129" s="22" t="n">
        <x:f t="shared" si="15"/>
        <x:v>36.400000000000006</x:v>
      </x:c>
      <x:c r="H129" s="23" t="n">
        <x:f t="shared" si="16"/>
        <x:v>0.18383838383838386</x:v>
      </x:c>
      <x:c r="I129" s="23" t="n">
        <x:v>0.819530808080808</x:v>
      </x:c>
      <x:c r="J129" s="23" t="n">
        <x:v>0.931852222222222</x:v>
      </x:c>
      <x:c r="K129" s="23" t="n">
        <x:f t="shared" si="17"/>
        <x:v>0.11232141414141394</x:v>
      </x:c>
      <x:c r="L129" s="23" t="n">
        <x:v>0.903031818181818</x:v>
      </x:c>
      <x:c r="M129" s="23" t="n">
        <x:v>0.994446666666667</x:v>
      </x:c>
      <x:c r="N129" s="23" t="n">
        <x:f t="shared" si="18"/>
        <x:v>0.09141484848484904</x:v>
      </x:c>
      <x:c r="O129" s="23" t="n">
        <x:v>0.800006060606061</x:v>
      </x:c>
      <x:c r="P129" s="23" t="n">
        <x:v>0.98778</x:v>
      </x:c>
      <x:c r="Q129" s="23" t="n">
        <x:f t="shared" si="19"/>
        <x:v>0.18777393939393894</x:v>
      </x:c>
    </x:row>
    <x:row r="130">
      <x:c r="A130" s="24" t="n">
        <x:v>122</x:v>
      </x:c>
      <x:c r="B130" s="25" t="str">
        <x:v>新北市</x:v>
      </x:c>
      <x:c r="C130" s="25" t="str">
        <x:v>三重區</x:v>
      </x:c>
      <x:c r="D130" s="26" t="str">
        <x:v>國隆大仁街口</x:v>
      </x:c>
      <x:c r="E130" s="27" t="n">
        <x:v>119.2</x:v>
      </x:c>
      <x:c r="F130" s="27" t="n">
        <x:v>155</x:v>
      </x:c>
      <x:c r="G130" s="27" t="n">
        <x:f t="shared" si="15"/>
        <x:v>35.8</x:v>
      </x:c>
      <x:c r="H130" s="28" t="n">
        <x:f t="shared" si="16"/>
        <x:v>0.30033557046979864</x:v>
      </x:c>
      <x:c r="I130" s="28" t="n">
        <x:v>0.878494444444445</x:v>
      </x:c>
      <x:c r="J130" s="28" t="n">
        <x:v>0.822776666666667</x:v>
      </x:c>
      <x:c r="K130" s="28" t="n">
        <x:f t="shared" si="17"/>
        <x:v>-0.05571777777777798</x:v>
      </x:c>
      <x:c r="L130" s="28" t="n">
        <x:v>0.642430303030303</x:v>
      </x:c>
      <x:c r="M130" s="28" t="n">
        <x:v>0.492233333333333</x:v>
      </x:c>
      <x:c r="N130" s="28" t="n">
        <x:f t="shared" si="18"/>
        <x:v>-0.15019696969697</x:v>
      </x:c>
      <x:c r="O130" s="28" t="n">
        <x:v>0.964901515151515</x:v>
      </x:c>
      <x:c r="P130" s="28" t="n">
        <x:v>0.991113333333333</x:v>
      </x:c>
      <x:c r="Q130" s="28" t="n">
        <x:f t="shared" si="19"/>
        <x:v>0.026211818181817947</x:v>
      </x:c>
    </x:row>
    <x:row r="131">
      <x:c r="A131" s="19" t="n">
        <x:v>123</x:v>
      </x:c>
      <x:c r="B131" s="20" t="str">
        <x:v>新北市</x:v>
      </x:c>
      <x:c r="C131" s="20" t="str">
        <x:v>板橋區</x:v>
      </x:c>
      <x:c r="D131" s="21" t="str">
        <x:v>埤墘公園</x:v>
      </x:c>
      <x:c r="E131" s="22" t="n">
        <x:v>147.1</x:v>
      </x:c>
      <x:c r="F131" s="22" t="n">
        <x:v>182.4</x:v>
      </x:c>
      <x:c r="G131" s="22" t="n">
        <x:f t="shared" si="15"/>
        <x:v>35.30000000000001</x:v>
      </x:c>
      <x:c r="H131" s="23" t="n">
        <x:f t="shared" si="16"/>
        <x:v>0.23997280761386822</x:v>
      </x:c>
      <x:c r="I131" s="23" t="n">
        <x:v>0.891961616161616</x:v>
      </x:c>
      <x:c r="J131" s="23" t="n">
        <x:v>0.854813333333333</x:v>
      </x:c>
      <x:c r="K131" s="23" t="n">
        <x:f t="shared" si="17"/>
        <x:v>-0.037148282828282975</x:v>
      </x:c>
      <x:c r="L131" s="23" t="n">
        <x:v>0.614142424242424</x:v>
      </x:c>
      <x:c r="M131" s="23" t="n">
        <x:v>0.56666</x:v>
      </x:c>
      <x:c r="N131" s="23" t="n">
        <x:f t="shared" si="18"/>
        <x:v>-0.04748242424242399</x:v>
      </x:c>
      <x:c r="O131" s="23" t="n">
        <x:v>1</x:v>
      </x:c>
      <x:c r="P131" s="23" t="n">
        <x:v>0.96666</x:v>
      </x:c>
      <x:c r="Q131" s="23" t="n">
        <x:f t="shared" si="19"/>
        <x:v>-0.033340000000000036</x:v>
      </x:c>
    </x:row>
    <x:row r="132">
      <x:c r="A132" s="24" t="n">
        <x:v>124</x:v>
      </x:c>
      <x:c r="B132" s="25" t="str">
        <x:v>新北市</x:v>
      </x:c>
      <x:c r="C132" s="25" t="str">
        <x:v>板橋區</x:v>
      </x:c>
      <x:c r="D132" s="26" t="str">
        <x:v>重慶路89巷</x:v>
      </x:c>
      <x:c r="E132" s="27" t="n">
        <x:v>119.1</x:v>
      </x:c>
      <x:c r="F132" s="27" t="n">
        <x:v>154.4</x:v>
      </x:c>
      <x:c r="G132" s="27" t="n">
        <x:f t="shared" si="15"/>
        <x:v>35.30000000000001</x:v>
      </x:c>
      <x:c r="H132" s="28" t="n">
        <x:f t="shared" si="16"/>
        <x:v>0.29638958858102443</x:v>
      </x:c>
      <x:c r="I132" s="28" t="n">
        <x:v>0.791247222222222</x:v>
      </x:c>
      <x:c r="J132" s="28" t="n">
        <x:v>0.827591111111111</x:v>
      </x:c>
      <x:c r="K132" s="28" t="n">
        <x:f t="shared" si="17"/>
        <x:v>0.036343888888889064</x:v>
      </x:c>
      <x:c r="L132" s="28" t="n">
        <x:v>0.622477272727273</x:v>
      </x:c>
      <x:c r="M132" s="28" t="n">
        <x:v>0.668886666666667</x:v>
      </x:c>
      <x:c r="N132" s="28" t="n">
        <x:f t="shared" si="18"/>
        <x:v>0.04640939393939392</x:v>
      </x:c>
      <x:c r="O132" s="28" t="n">
        <x:v>0.901769696969697</x:v>
      </x:c>
      <x:c r="P132" s="28" t="n">
        <x:v>0.978886666666667</x:v>
      </x:c>
      <x:c r="Q132" s="28" t="n">
        <x:f t="shared" si="19"/>
        <x:v>0.07711696969697002</x:v>
      </x:c>
    </x:row>
    <x:row r="133">
      <x:c r="A133" s="19" t="n">
        <x:v>125</x:v>
      </x:c>
      <x:c r="B133" s="20" t="str">
        <x:v>新北市</x:v>
      </x:c>
      <x:c r="C133" s="20" t="str">
        <x:v>三峽區</x:v>
      </x:c>
      <x:c r="D133" s="21" t="str">
        <x:v>大學學成路口</x:v>
      </x:c>
      <x:c r="E133" s="22" t="n">
        <x:v>182.7</x:v>
      </x:c>
      <x:c r="F133" s="22" t="n">
        <x:v>217.6</x:v>
      </x:c>
      <x:c r="G133" s="22" t="n">
        <x:f t="shared" si="15"/>
        <x:v>34.900000000000006</x:v>
      </x:c>
      <x:c r="H133" s="23" t="n">
        <x:f t="shared" si="16"/>
        <x:v>0.1910235358511221</x:v>
      </x:c>
      <x:c r="I133" s="23" t="n">
        <x:v>0.885647474747475</x:v>
      </x:c>
      <x:c r="J133" s="23" t="n">
        <x:v>0.942777777777778</x:v>
      </x:c>
      <x:c r="K133" s="23" t="n">
        <x:f t="shared" si="17"/>
        <x:v>0.05713030303030309</x:v>
      </x:c>
      <x:c r="L133" s="23" t="n">
        <x:v>0.87020303030303</x:v>
      </x:c>
      <x:c r="M133" s="23" t="n">
        <x:v>1</x:v>
      </x:c>
      <x:c r="N133" s="23" t="n">
        <x:f t="shared" si="18"/>
        <x:v>0.12979696969696997</x:v>
      </x:c>
      <x:c r="O133" s="23" t="n">
        <x:v>0.926515151515152</x:v>
      </x:c>
      <x:c r="P133" s="23" t="n">
        <x:v>0.98334</x:v>
      </x:c>
      <x:c r="Q133" s="23" t="n">
        <x:f t="shared" si="19"/>
        <x:v>0.056824848484848034</x:v>
      </x:c>
    </x:row>
    <x:row r="134">
      <x:c r="A134" s="24" t="n">
        <x:v>126</x:v>
      </x:c>
      <x:c r="B134" s="25" t="str">
        <x:v>新北市</x:v>
      </x:c>
      <x:c r="C134" s="25" t="str">
        <x:v>永和區</x:v>
      </x:c>
      <x:c r="D134" s="26" t="str">
        <x:v>仁愛公園(仁愛路)</x:v>
      </x:c>
      <x:c r="E134" s="27" t="n">
        <x:v>117.5</x:v>
      </x:c>
      <x:c r="F134" s="27" t="n">
        <x:v>150.8</x:v>
      </x:c>
      <x:c r="G134" s="27" t="n">
        <x:f t="shared" si="15"/>
        <x:v>33.30000000000001</x:v>
      </x:c>
      <x:c r="H134" s="28" t="n">
        <x:f t="shared" si="16"/>
        <x:v>0.28340425531914903</x:v>
      </x:c>
      <x:c r="I134" s="28" t="n">
        <x:v>0.810816161616162</x:v>
      </x:c>
      <x:c r="J134" s="28" t="n">
        <x:v>0.864624444444445</x:v>
      </x:c>
      <x:c r="K134" s="28" t="n">
        <x:f t="shared" si="17"/>
        <x:v>0.05380828282828298</x:v>
      </x:c>
      <x:c r="L134" s="28" t="n">
        <x:v>0.988384848484848</x:v>
      </x:c>
      <x:c r="M134" s="28" t="n">
        <x:v>0.863326666666667</x:v>
      </x:c>
      <x:c r="N134" s="28" t="n">
        <x:f t="shared" si="18"/>
        <x:v>-0.12505818181818096</x:v>
      </x:c>
      <x:c r="O134" s="28" t="n">
        <x:v>0.722721212121212</x:v>
      </x:c>
      <x:c r="P134" s="28" t="n">
        <x:v>0.86444</x:v>
      </x:c>
      <x:c r="Q134" s="28" t="n">
        <x:f t="shared" si="19"/>
        <x:v>0.141718787878788</x:v>
      </x:c>
    </x:row>
    <x:row r="135">
      <x:c r="A135" s="19" t="n">
        <x:v>127</x:v>
      </x:c>
      <x:c r="B135" s="20" t="str">
        <x:v>新北市</x:v>
      </x:c>
      <x:c r="C135" s="20" t="str">
        <x:v>板橋區</x:v>
      </x:c>
      <x:c r="D135" s="21" t="str">
        <x:v>縣民民族路口</x:v>
      </x:c>
      <x:c r="E135" s="22" t="n">
        <x:v>177.9</x:v>
      </x:c>
      <x:c r="F135" s="22" t="n">
        <x:v>211.2</x:v>
      </x:c>
      <x:c r="G135" s="22" t="n">
        <x:f t="shared" si="15"/>
        <x:v>33.29999999999998</x:v>
      </x:c>
      <x:c r="H135" s="23" t="n">
        <x:f t="shared" si="16"/>
        <x:v>0.18718381112984814</x:v>
      </x:c>
      <x:c r="I135" s="23" t="n">
        <x:v>0.872894696969697</x:v>
      </x:c>
      <x:c r="J135" s="23" t="n">
        <x:v>0.862774444444444</x:v>
      </x:c>
      <x:c r="K135" s="23" t="n">
        <x:f t="shared" si="17"/>
        <x:v>-0.01012025252525306</x:v>
      </x:c>
      <x:c r="L135" s="23" t="n">
        <x:v>0.981060606060606</x:v>
      </x:c>
      <x:c r="M135" s="23" t="n">
        <x:v>0.863333333333333</x:v>
      </x:c>
      <x:c r="N135" s="23" t="n">
        <x:f t="shared" si="18"/>
        <x:v>-0.11772727272727301</x:v>
      </x:c>
      <x:c r="O135" s="23" t="n">
        <x:v>0.966413636363636</x:v>
      </x:c>
      <x:c r="P135" s="23" t="n">
        <x:v>0.953326666666667</x:v>
      </x:c>
      <x:c r="Q135" s="23" t="n">
        <x:f t="shared" si="19"/>
        <x:v>-0.013086969696968986</x:v>
      </x:c>
    </x:row>
    <x:row r="136">
      <x:c r="A136" s="24" t="n">
        <x:v>128</x:v>
      </x:c>
      <x:c r="B136" s="25" t="str">
        <x:v>新北市</x:v>
      </x:c>
      <x:c r="C136" s="25" t="str">
        <x:v>新店區</x:v>
      </x:c>
      <x:c r="D136" s="26" t="str">
        <x:v>新北市立圖書館新店分館</x:v>
      </x:c>
      <x:c r="E136" s="27" t="n">
        <x:v>173</x:v>
      </x:c>
      <x:c r="F136" s="27" t="n">
        <x:v>205</x:v>
      </x:c>
      <x:c r="G136" s="27" t="n">
        <x:f t="shared" si="15"/>
        <x:v>32</x:v>
      </x:c>
      <x:c r="H136" s="28" t="n">
        <x:f t="shared" si="16"/>
        <x:v>0.18497109826589594</x:v>
      </x:c>
      <x:c r="I136" s="28" t="n">
        <x:v>0.868433585858586</x:v>
      </x:c>
      <x:c r="J136" s="28" t="n">
        <x:v>0.852405555555556</x:v>
      </x:c>
      <x:c r="K136" s="28" t="n">
        <x:f t="shared" si="17"/>
        <x:v>-0.016028030303030016</x:v>
      </x:c>
      <x:c r="L136" s="28" t="n">
        <x:v>0.996463636363636</x:v>
      </x:c>
      <x:c r="M136" s="28" t="n">
        <x:v>0.985553333333333</x:v>
      </x:c>
      <x:c r="N136" s="28" t="n">
        <x:f t="shared" si="18"/>
        <x:v>-0.010910303030303048</x:v>
      </x:c>
      <x:c r="O136" s="28" t="n">
        <x:v>0.781813636363636</x:v>
      </x:c>
      <x:c r="P136" s="28" t="n">
        <x:v>0.82</x:v>
      </x:c>
      <x:c r="Q136" s="28" t="n">
        <x:f t="shared" si="19"/>
        <x:v>0.03818636363636396</x:v>
      </x:c>
    </x:row>
    <x:row r="137">
      <x:c r="A137" s="19" t="n">
        <x:v>129</x:v>
      </x:c>
      <x:c r="B137" s="20" t="str">
        <x:v>新北市</x:v>
      </x:c>
      <x:c r="C137" s="20" t="str">
        <x:v>板橋區</x:v>
      </x:c>
      <x:c r="D137" s="21" t="str">
        <x:v>文化路一段212巷口</x:v>
      </x:c>
      <x:c r="E137" s="22" t="n">
        <x:v>210.3</x:v>
      </x:c>
      <x:c r="F137" s="22" t="n">
        <x:v>242</x:v>
      </x:c>
      <x:c r="G137" s="22" t="n">
        <x:f t="shared" ref="G137:G168" si="20">IF(OR(E137="",F137=""),"",F137-E137)</x:f>
        <x:v>31.69999999999999</x:v>
      </x:c>
      <x:c r="H137" s="23" t="n">
        <x:f t="shared" ref="H137:H168" si="21">IF(OR(E137="",F137="",E137=0),"",(F137-E137)/E137)</x:f>
        <x:v>0.15073704232049448</x:v>
      </x:c>
      <x:c r="I137" s="23" t="n">
        <x:v>0.824916414141414</x:v>
      </x:c>
      <x:c r="J137" s="23" t="n">
        <x:v>0.919816666666667</x:v>
      </x:c>
      <x:c r="K137" s="23" t="n">
        <x:f t="shared" ref="K137:K168" si="22">IF(OR(I137="",J137=""),"",J137-I137)</x:f>
        <x:v>0.09490025252525291</x:v>
      </x:c>
      <x:c r="L137" s="23" t="n">
        <x:v>0.988890909090909</x:v>
      </x:c>
      <x:c r="M137" s="23" t="n">
        <x:v>0.956673333333333</x:v>
      </x:c>
      <x:c r="N137" s="23" t="n">
        <x:f t="shared" ref="N137:N168" si="23">IF(OR(L137="",M137=""),"",M137-L137)</x:f>
        <x:v>-0.032217575757576</x:v>
      </x:c>
      <x:c r="O137" s="23" t="n">
        <x:v>0.637881818181818</x:v>
      </x:c>
      <x:c r="P137" s="23" t="n">
        <x:v>0.848893333333333</x:v>
      </x:c>
      <x:c r="Q137" s="23" t="n">
        <x:f t="shared" ref="Q137:Q168" si="24">IF(OR(O137="",P137=""),"",P137-O137)</x:f>
        <x:v>0.21101151515151495</x:v>
      </x:c>
    </x:row>
    <x:row r="138">
      <x:c r="A138" s="24" t="n">
        <x:v>130</x:v>
      </x:c>
      <x:c r="B138" s="25" t="str">
        <x:v>新北市</x:v>
      </x:c>
      <x:c r="C138" s="25" t="str">
        <x:v>板橋區</x:v>
      </x:c>
      <x:c r="D138" s="26" t="str">
        <x:v>板橋地政事務所</x:v>
      </x:c>
      <x:c r="E138" s="27" t="n">
        <x:v>208</x:v>
      </x:c>
      <x:c r="F138" s="27" t="n">
        <x:v>238.6</x:v>
      </x:c>
      <x:c r="G138" s="27" t="n">
        <x:f t="shared" si="20"/>
        <x:v>30.599999999999994</x:v>
      </x:c>
      <x:c r="H138" s="28" t="n">
        <x:f t="shared" si="21"/>
        <x:v>0.1471153846153846</x:v>
      </x:c>
      <x:c r="I138" s="28" t="n">
        <x:v>0.875210101010101</x:v>
      </x:c>
      <x:c r="J138" s="28" t="n">
        <x:v>0.889257777777778</x:v>
      </x:c>
      <x:c r="K138" s="28" t="n">
        <x:f t="shared" si="22"/>
        <x:v>0.014047676767677042</x:v>
      </x:c>
      <x:c r="L138" s="28" t="n">
        <x:v>0.756816666666667</x:v>
      </x:c>
      <x:c r="M138" s="28" t="n">
        <x:v>0.80222</x:v>
      </x:c>
      <x:c r="N138" s="28" t="n">
        <x:f t="shared" si="23"/>
        <x:v>0.04540333333333302</x:v>
      </x:c>
      <x:c r="O138" s="28" t="n">
        <x:v>0.991666666666667</x:v>
      </x:c>
      <x:c r="P138" s="28" t="n">
        <x:v>1</x:v>
      </x:c>
      <x:c r="Q138" s="28" t="n">
        <x:f t="shared" si="24"/>
        <x:v>0.00833333333333297</x:v>
      </x:c>
    </x:row>
    <x:row r="139">
      <x:c r="A139" s="19" t="n">
        <x:v>131</x:v>
      </x:c>
      <x:c r="B139" s="20" t="str">
        <x:v>新北市</x:v>
      </x:c>
      <x:c r="C139" s="20" t="str">
        <x:v>新莊區</x:v>
      </x:c>
      <x:c r="D139" s="21" t="str">
        <x:v>臺北醫院</x:v>
      </x:c>
      <x:c r="E139" s="22" t="n">
        <x:v>212.9</x:v>
      </x:c>
      <x:c r="F139" s="22" t="n">
        <x:v>243.2</x:v>
      </x:c>
      <x:c r="G139" s="22" t="n">
        <x:f t="shared" si="20"/>
        <x:v>30.299999999999983</x:v>
      </x:c>
      <x:c r="H139" s="23" t="n">
        <x:f t="shared" si="21"/>
        <x:v>0.14232033818694215</x:v>
      </x:c>
      <x:c r="I139" s="23" t="n">
        <x:v>0.886277777777778</x:v>
      </x:c>
      <x:c r="J139" s="23" t="n">
        <x:v>0.920556666666667</x:v>
      </x:c>
      <x:c r="K139" s="23" t="n">
        <x:f t="shared" si="22"/>
        <x:v>0.03427888888888897</x:v>
      </x:c>
      <x:c r="L139" s="23" t="n">
        <x:v>0.854790909090909</x:v>
      </x:c>
      <x:c r="M139" s="23" t="n">
        <x:v>0.957773333333334</x:v>
      </x:c>
      <x:c r="N139" s="23" t="n">
        <x:f t="shared" si="23"/>
        <x:v>0.10298242424242499</x:v>
      </x:c>
      <x:c r="O139" s="23" t="n">
        <x:v>0.889642424242425</x:v>
      </x:c>
      <x:c r="P139" s="23" t="n">
        <x:v>0.859993333333333</x:v>
      </x:c>
      <x:c r="Q139" s="23" t="n">
        <x:f t="shared" si="24"/>
        <x:v>-0.029649090909091957</x:v>
      </x:c>
    </x:row>
    <x:row r="140">
      <x:c r="A140" s="24" t="n">
        <x:v>132</x:v>
      </x:c>
      <x:c r="B140" s="25" t="str">
        <x:v>新北市</x:v>
      </x:c>
      <x:c r="C140" s="25" t="str">
        <x:v>板橋區</x:v>
      </x:c>
      <x:c r="D140" s="26" t="str">
        <x:v>華江九華江一路口(匯翠社區)</x:v>
      </x:c>
      <x:c r="E140" s="27" t="n">
        <x:v>150.4</x:v>
      </x:c>
      <x:c r="F140" s="27" t="n">
        <x:v>180</x:v>
      </x:c>
      <x:c r="G140" s="27" t="n">
        <x:f t="shared" si="20"/>
        <x:v>29.599999999999994</x:v>
      </x:c>
      <x:c r="H140" s="28" t="n">
        <x:f t="shared" si="21"/>
        <x:v>0.19680851063829782</x:v>
      </x:c>
      <x:c r="I140" s="28" t="n">
        <x:v>0.888551767676768</x:v>
      </x:c>
      <x:c r="J140" s="28" t="n">
        <x:v>0.935555555555556</x:v>
      </x:c>
      <x:c r="K140" s="28" t="n">
        <x:f t="shared" si="22"/>
        <x:v>0.047003787878788006</x:v>
      </x:c>
      <x:c r="L140" s="28" t="n">
        <x:v>0.70984696969697</x:v>
      </x:c>
      <x:c r="M140" s="28" t="n">
        <x:v>0.766666666666667</x:v>
      </x:c>
      <x:c r="N140" s="28" t="n">
        <x:f t="shared" si="23"/>
        <x:v>0.05681969696969702</x:v>
      </x:c>
      <x:c r="O140" s="28" t="n">
        <x:v>0.999495454545455</x:v>
      </x:c>
      <x:c r="P140" s="28" t="n">
        <x:v>1</x:v>
      </x:c>
      <x:c r="Q140" s="28" t="n">
        <x:f t="shared" si="24"/>
        <x:v>0.0005045454545450356</x:v>
      </x:c>
    </x:row>
    <x:row r="141">
      <x:c r="A141" s="19" t="n">
        <x:v>133</x:v>
      </x:c>
      <x:c r="B141" s="20" t="str">
        <x:v>新北市</x:v>
      </x:c>
      <x:c r="C141" s="20" t="str">
        <x:v>板橋區</x:v>
      </x:c>
      <x:c r="D141" s="21" t="str">
        <x:v>捷運新埔站(2號出口)</x:v>
      </x:c>
      <x:c r="E141" s="22" t="n">
        <x:v>330.9</x:v>
      </x:c>
      <x:c r="F141" s="22" t="n">
        <x:v>360.4</x:v>
      </x:c>
      <x:c r="G141" s="22" t="n">
        <x:f t="shared" si="20"/>
        <x:v>29.5</x:v>
      </x:c>
      <x:c r="H141" s="23" t="n">
        <x:f t="shared" si="21"/>
        <x:v>0.0891508008461771</x:v>
      </x:c>
      <x:c r="I141" s="23" t="n">
        <x:v>0.82567297979798</x:v>
      </x:c>
      <x:c r="J141" s="23" t="n">
        <x:v>0.829443333333333</x:v>
      </x:c>
      <x:c r="K141" s="23" t="n">
        <x:f t="shared" si="22"/>
        <x:v>0.0037703535353529327</x:v>
      </x:c>
      <x:c r="L141" s="23" t="n">
        <x:v>1</x:v>
      </x:c>
      <x:c r="M141" s="23" t="n">
        <x:v>1</x:v>
      </x:c>
      <x:c r="N141" s="23" t="n">
        <x:f t="shared" si="23"/>
        <x:v>0</x:v>
      </x:c>
      <x:c r="O141" s="23" t="n">
        <x:v>0.666409090909091</x:v>
      </x:c>
      <x:c r="P141" s="23" t="n">
        <x:v>0.797786666666667</x:v>
      </x:c>
      <x:c r="Q141" s="23" t="n">
        <x:f t="shared" si="24"/>
        <x:v>0.13137757575757603</x:v>
      </x:c>
    </x:row>
    <x:row r="142">
      <x:c r="A142" s="24" t="n">
        <x:v>134</x:v>
      </x:c>
      <x:c r="B142" s="25" t="str">
        <x:v>新北市</x:v>
      </x:c>
      <x:c r="C142" s="25" t="str">
        <x:v>板橋區</x:v>
      </x:c>
      <x:c r="D142" s="26" t="str">
        <x:v>捷運新埔站(5號出口)</x:v>
      </x:c>
      <x:c r="E142" s="27" t="n">
        <x:v>323.5</x:v>
      </x:c>
      <x:c r="F142" s="27" t="n">
        <x:v>352.6</x:v>
      </x:c>
      <x:c r="G142" s="27" t="n">
        <x:f t="shared" si="20"/>
        <x:v>29.100000000000023</x:v>
      </x:c>
      <x:c r="H142" s="28" t="n">
        <x:f t="shared" si="21"/>
        <x:v>0.08995363214837719</x:v>
      </x:c>
      <x:c r="I142" s="28" t="n">
        <x:v>0.877862878787879</x:v>
      </x:c>
      <x:c r="J142" s="28" t="n">
        <x:v>0.878703333333333</x:v>
      </x:c>
      <x:c r="K142" s="28" t="n">
        <x:f t="shared" si="22"/>
        <x:v>0.0008404545454538948</x:v>
      </x:c>
      <x:c r="L142" s="28" t="n">
        <x:v>1</x:v>
      </x:c>
      <x:c r="M142" s="28" t="n">
        <x:v>1</x:v>
      </x:c>
      <x:c r="N142" s="28" t="n">
        <x:f t="shared" si="23"/>
        <x:v>0</x:v>
      </x:c>
      <x:c r="O142" s="28" t="n">
        <x:v>0.836110606060606</x:v>
      </x:c>
      <x:c r="P142" s="28" t="n">
        <x:v>0.90222</x:v>
      </x:c>
      <x:c r="Q142" s="28" t="n">
        <x:f t="shared" si="24"/>
        <x:v>0.06610939393939397</x:v>
      </x:c>
    </x:row>
    <x:row r="143">
      <x:c r="A143" s="19" t="n">
        <x:v>135</x:v>
      </x:c>
      <x:c r="B143" s="20" t="str">
        <x:v>新北市</x:v>
      </x:c>
      <x:c r="C143" s="20" t="str">
        <x:v>板橋區</x:v>
      </x:c>
      <x:c r="D143" s="21" t="str">
        <x:v>溪頭公園</x:v>
      </x:c>
      <x:c r="E143" s="22" t="n">
        <x:v>105.2</x:v>
      </x:c>
      <x:c r="F143" s="22" t="n">
        <x:v>133.6</x:v>
      </x:c>
      <x:c r="G143" s="22" t="n">
        <x:f t="shared" si="20"/>
        <x:v>28.39999999999999</x:v>
      </x:c>
      <x:c r="H143" s="23" t="n">
        <x:f t="shared" si="21"/>
        <x:v>0.2699619771863117</x:v>
      </x:c>
      <x:c r="I143" s="23" t="n">
        <x:v>0.896507070707071</x:v>
      </x:c>
      <x:c r="J143" s="23" t="n">
        <x:v>0.887775555555556</x:v>
      </x:c>
      <x:c r="K143" s="23" t="n">
        <x:f t="shared" si="22"/>
        <x:v>-0.008731515151515046</x:v>
      </x:c>
      <x:c r="L143" s="23" t="n">
        <x:v>0.771972727272727</x:v>
      </x:c>
      <x:c r="M143" s="23" t="n">
        <x:v>0.78444</x:v>
      </x:c>
      <x:c r="N143" s="23" t="n">
        <x:f t="shared" si="23"/>
        <x:v>0.012467272727272993</x:v>
      </x:c>
      <x:c r="O143" s="23" t="n">
        <x:v>0.997474242424242</x:v>
      </x:c>
      <x:c r="P143" s="23" t="n">
        <x:v>0.994446666666667</x:v>
      </x:c>
      <x:c r="Q143" s="23" t="n">
        <x:f t="shared" si="24"/>
        <x:v>-0.003027575757574952</x:v>
      </x:c>
    </x:row>
    <x:row r="144">
      <x:c r="A144" s="24" t="n">
        <x:v>136</x:v>
      </x:c>
      <x:c r="B144" s="25" t="str">
        <x:v>新北市</x:v>
      </x:c>
      <x:c r="C144" s="25" t="str">
        <x:v>板橋區</x:v>
      </x:c>
      <x:c r="D144" s="26" t="str">
        <x:v>生態北公園</x:v>
      </x:c>
      <x:c r="E144" s="27" t="n">
        <x:v>118.8</x:v>
      </x:c>
      <x:c r="F144" s="27" t="n">
        <x:v>147</x:v>
      </x:c>
      <x:c r="G144" s="27" t="n">
        <x:f t="shared" si="20"/>
        <x:v>28.200000000000003</x:v>
      </x:c>
      <x:c r="H144" s="28" t="n">
        <x:f t="shared" si="21"/>
        <x:v>0.2373737373737374</x:v>
      </x:c>
      <x:c r="I144" s="28" t="n">
        <x:v>0.882237878787879</x:v>
      </x:c>
      <x:c r="J144" s="28" t="n">
        <x:v>0.832777777777778</x:v>
      </x:c>
      <x:c r="K144" s="28" t="n">
        <x:f t="shared" si="22"/>
        <x:v>-0.04946010101010101</x:v>
      </x:c>
      <x:c r="L144" s="28" t="n">
        <x:v>0.991665151515151</x:v>
      </x:c>
      <x:c r="M144" s="28" t="n">
        <x:v>0.95</x:v>
      </x:c>
      <x:c r="N144" s="28" t="n">
        <x:f t="shared" si="23"/>
        <x:v>-0.041665151515151044</x:v>
      </x:c>
      <x:c r="O144" s="28" t="n">
        <x:v>0.886613636363636</x:v>
      </x:c>
      <x:c r="P144" s="28" t="n">
        <x:v>0.85</x:v>
      </x:c>
      <x:c r="Q144" s="28" t="n">
        <x:f t="shared" si="24"/>
        <x:v>-0.036613636363636015</x:v>
      </x:c>
    </x:row>
    <x:row r="145">
      <x:c r="A145" s="19" t="n">
        <x:v>137</x:v>
      </x:c>
      <x:c r="B145" s="20" t="str">
        <x:v>新北市</x:v>
      </x:c>
      <x:c r="C145" s="20" t="str">
        <x:v>板橋區</x:v>
      </x:c>
      <x:c r="D145" s="21" t="str">
        <x:v>新北市藝文中心(文化路二段124巷)</x:v>
      </x:c>
      <x:c r="E145" s="22" t="n">
        <x:v>109.9</x:v>
      </x:c>
      <x:c r="F145" s="22" t="n">
        <x:v>137.8</x:v>
      </x:c>
      <x:c r="G145" s="22" t="n">
        <x:f t="shared" si="20"/>
        <x:v>27.900000000000006</x:v>
      </x:c>
      <x:c r="H145" s="23" t="n">
        <x:f t="shared" si="21"/>
        <x:v>0.253867151956324</x:v>
      </x:c>
      <x:c r="I145" s="23" t="n">
        <x:v>0.861489141414142</x:v>
      </x:c>
      <x:c r="J145" s="23" t="n">
        <x:v>0.914074444444444</x:v>
      </x:c>
      <x:c r="K145" s="23" t="n">
        <x:f t="shared" si="22"/>
        <x:v>0.052585303030301955</x:v>
      </x:c>
      <x:c r="L145" s="23" t="n">
        <x:v>0.843178787878788</x:v>
      </x:c>
      <x:c r="M145" s="23" t="n">
        <x:v>0.828886666666667</x:v>
      </x:c>
      <x:c r="N145" s="23" t="n">
        <x:f t="shared" si="23"/>
        <x:v>-0.014292121212120978</x:v>
      </x:c>
      <x:c r="O145" s="23" t="n">
        <x:v>0.964648484848485</x:v>
      </x:c>
      <x:c r="P145" s="23" t="n">
        <x:v>0.974446666666667</x:v>
      </x:c>
      <x:c r="Q145" s="23" t="n">
        <x:f t="shared" si="24"/>
        <x:v>0.009798181818182039</x:v>
      </x:c>
    </x:row>
    <x:row r="146">
      <x:c r="A146" s="24" t="n">
        <x:v>138</x:v>
      </x:c>
      <x:c r="B146" s="25" t="str">
        <x:v>新北市</x:v>
      </x:c>
      <x:c r="C146" s="25" t="str">
        <x:v>永和區</x:v>
      </x:c>
      <x:c r="D146" s="26" t="str">
        <x:v>中信停車場(中興街)</x:v>
      </x:c>
      <x:c r="E146" s="27" t="n">
        <x:v>135.4</x:v>
      </x:c>
      <x:c r="F146" s="27" t="n">
        <x:v>163.2</x:v>
      </x:c>
      <x:c r="G146" s="27" t="n">
        <x:f t="shared" si="20"/>
        <x:v>27.799999999999983</x:v>
      </x:c>
      <x:c r="H146" s="28" t="n">
        <x:f t="shared" si="21"/>
        <x:v>0.20531757754800578</x:v>
      </x:c>
      <x:c r="I146" s="28" t="n">
        <x:v>0.826599747474747</x:v>
      </x:c>
      <x:c r="J146" s="28" t="n">
        <x:v>0.862588888888889</x:v>
      </x:c>
      <x:c r="K146" s="28" t="n">
        <x:f t="shared" si="22"/>
        <x:v>0.035989141414142</x:v>
      </x:c>
      <x:c r="L146" s="28" t="n">
        <x:v>0.699242424242424</x:v>
      </x:c>
      <x:c r="M146" s="28" t="n">
        <x:v>0.69666</x:v>
      </x:c>
      <x:c r="N146" s="28" t="n">
        <x:f t="shared" si="23"/>
        <x:v>-0.002582424242424053</x:v>
      </x:c>
      <x:c r="O146" s="28" t="n">
        <x:v>0.92474696969697</x:v>
      </x:c>
      <x:c r="P146" s="28" t="n">
        <x:v>0.893326666666667</x:v>
      </x:c>
      <x:c r="Q146" s="28" t="n">
        <x:f t="shared" si="24"/>
        <x:v>-0.031420303030302965</x:v>
      </x:c>
    </x:row>
    <x:row r="147">
      <x:c r="A147" s="19" t="n">
        <x:v>139</x:v>
      </x:c>
      <x:c r="B147" s="20" t="str">
        <x:v>新北市</x:v>
      </x:c>
      <x:c r="C147" s="20" t="str">
        <x:v>土城區</x:v>
      </x:c>
      <x:c r="D147" s="21" t="str">
        <x:v>廣福國小</x:v>
      </x:c>
      <x:c r="E147" s="22" t="n">
        <x:v>169.2</x:v>
      </x:c>
      <x:c r="F147" s="22" t="n">
        <x:v>196.8</x:v>
      </x:c>
      <x:c r="G147" s="22" t="n">
        <x:f t="shared" si="20"/>
        <x:v>27.600000000000023</x:v>
      </x:c>
      <x:c r="H147" s="23" t="n">
        <x:f t="shared" si="21"/>
        <x:v>0.16312056737588668</x:v>
      </x:c>
      <x:c r="I147" s="23" t="n">
        <x:v>0.863467676767677</x:v>
      </x:c>
      <x:c r="J147" s="23" t="n">
        <x:v>0.827774444444444</x:v>
      </x:c>
      <x:c r="K147" s="23" t="n">
        <x:f t="shared" si="22"/>
        <x:v>-0.03569323232323296</x:v>
      </x:c>
      <x:c r="L147" s="23" t="n">
        <x:v>0.612374242424242</x:v>
      </x:c>
      <x:c r="M147" s="23" t="n">
        <x:v>0.673326666666667</x:v>
      </x:c>
      <x:c r="N147" s="23" t="n">
        <x:f t="shared" si="23"/>
        <x:v>0.060952424242424974</x:v>
      </x:c>
      <x:c r="O147" s="23" t="n">
        <x:v>0.993433333333333</x:v>
      </x:c>
      <x:c r="P147" s="23" t="n">
        <x:v>0.99444</x:v>
      </x:c>
      <x:c r="Q147" s="23" t="n">
        <x:f t="shared" si="24"/>
        <x:v>0.0010066666666670443</x:v>
      </x:c>
    </x:row>
    <x:row r="148">
      <x:c r="A148" s="24" t="n">
        <x:v>140</x:v>
      </x:c>
      <x:c r="B148" s="25" t="str">
        <x:v>新北市</x:v>
      </x:c>
      <x:c r="C148" s="25" t="str">
        <x:v>板橋區</x:v>
      </x:c>
      <x:c r="D148" s="26" t="str">
        <x:v>埔墘國小</x:v>
      </x:c>
      <x:c r="E148" s="27" t="n">
        <x:v>119.5</x:v>
      </x:c>
      <x:c r="F148" s="27" t="n">
        <x:v>146.8</x:v>
      </x:c>
      <x:c r="G148" s="27" t="n">
        <x:f t="shared" si="20"/>
        <x:v>27.30000000000001</x:v>
      </x:c>
      <x:c r="H148" s="28" t="n">
        <x:f t="shared" si="21"/>
        <x:v>0.2284518828451884</x:v>
      </x:c>
      <x:c r="I148" s="28" t="n">
        <x:v>0.874285101010101</x:v>
      </x:c>
      <x:c r="J148" s="28" t="n">
        <x:v>0.882775555555556</x:v>
      </x:c>
      <x:c r="K148" s="28" t="n">
        <x:f t="shared" si="22"/>
        <x:v>0.00849045454545494</x:v>
      </x:c>
      <x:c r="L148" s="28" t="n">
        <x:v>0.595209090909091</x:v>
      </x:c>
      <x:c r="M148" s="28" t="n">
        <x:v>0.64</x:v>
      </x:c>
      <x:c r="N148" s="28" t="n">
        <x:f t="shared" si="23"/>
        <x:v>0.04479090909090899</x:v>
      </x:c>
      <x:c r="O148" s="28" t="n">
        <x:v>0.998989393939394</x:v>
      </x:c>
      <x:c r="P148" s="28" t="n">
        <x:v>0.986666666666667</x:v>
      </x:c>
      <x:c r="Q148" s="28" t="n">
        <x:f t="shared" si="24"/>
        <x:v>-0.012322727272726985</x:v>
      </x:c>
    </x:row>
    <x:row r="149">
      <x:c r="A149" s="19" t="n">
        <x:v>141</x:v>
      </x:c>
      <x:c r="B149" s="20" t="str">
        <x:v>新北市</x:v>
      </x:c>
      <x:c r="C149" s="20" t="str">
        <x:v>板橋區</x:v>
      </x:c>
      <x:c r="D149" s="21" t="str">
        <x:v>文化路二段182巷1弄</x:v>
      </x:c>
      <x:c r="E149" s="22" t="n">
        <x:v>139.9</x:v>
      </x:c>
      <x:c r="F149" s="22" t="n">
        <x:v>166.8</x:v>
      </x:c>
      <x:c r="G149" s="22" t="n">
        <x:f t="shared" si="20"/>
        <x:v>26.900000000000006</x:v>
      </x:c>
      <x:c r="H149" s="23" t="n">
        <x:f t="shared" si="21"/>
        <x:v>0.1922802001429593</x:v>
      </x:c>
      <x:c r="I149" s="23" t="n">
        <x:v>0.774787878787879</x:v>
      </x:c>
      <x:c r="J149" s="23" t="n">
        <x:v>0.800925555555555</x:v>
      </x:c>
      <x:c r="K149" s="23" t="n">
        <x:f t="shared" si="22"/>
        <x:v>0.026137676767675977</x:v>
      </x:c>
      <x:c r="L149" s="23" t="n">
        <x:v>1</x:v>
      </x:c>
      <x:c r="M149" s="23" t="n">
        <x:v>1</x:v>
      </x:c>
      <x:c r="N149" s="23" t="n">
        <x:f t="shared" si="23"/>
        <x:v>0</x:v>
      </x:c>
      <x:c r="O149" s="23" t="n">
        <x:v>0.583327272727273</x:v>
      </x:c>
      <x:c r="P149" s="23" t="n">
        <x:v>0.668893333333333</x:v>
      </x:c>
      <x:c r="Q149" s="23" t="n">
        <x:f t="shared" si="24"/>
        <x:v>0.08556606060605998</x:v>
      </x:c>
    </x:row>
    <x:row r="150">
      <x:c r="A150" s="24" t="n">
        <x:v>142</x:v>
      </x:c>
      <x:c r="B150" s="25" t="str">
        <x:v>新北市</x:v>
      </x:c>
      <x:c r="C150" s="25" t="str">
        <x:v>板橋區</x:v>
      </x:c>
      <x:c r="D150" s="26" t="str">
        <x:v>永安公園</x:v>
      </x:c>
      <x:c r="E150" s="27" t="n">
        <x:v>114</x:v>
      </x:c>
      <x:c r="F150" s="27" t="n">
        <x:v>139.4</x:v>
      </x:c>
      <x:c r="G150" s="27" t="n">
        <x:f t="shared" si="20"/>
        <x:v>25.400000000000006</x:v>
      </x:c>
      <x:c r="H150" s="28" t="n">
        <x:f t="shared" si="21"/>
        <x:v>0.2228070175438597</x:v>
      </x:c>
      <x:c r="I150" s="28" t="n">
        <x:v>0.89692803030303</x:v>
      </x:c>
      <x:c r="J150" s="28" t="n">
        <x:v>0.877036666666667</x:v>
      </x:c>
      <x:c r="K150" s="28" t="n">
        <x:f t="shared" si="22"/>
        <x:v>-0.019891363636363013</x:v>
      </x:c>
      <x:c r="L150" s="28" t="n">
        <x:v>0.720712121212121</x:v>
      </x:c>
      <x:c r="M150" s="28" t="n">
        <x:v>0.768886666666667</x:v>
      </x:c>
      <x:c r="N150" s="28" t="n">
        <x:f t="shared" si="23"/>
        <x:v>0.048174545454546025</x:v>
      </x:c>
      <x:c r="O150" s="28" t="n">
        <x:v>1</x:v>
      </x:c>
      <x:c r="P150" s="28" t="n">
        <x:v>0.99</x:v>
      </x:c>
      <x:c r="Q150" s="28" t="n">
        <x:f t="shared" si="24"/>
        <x:v>-0.010000000000000009</x:v>
      </x:c>
    </x:row>
    <x:row r="151">
      <x:c r="A151" s="19" t="n">
        <x:v>143</x:v>
      </x:c>
      <x:c r="B151" s="20" t="str">
        <x:v>新北市</x:v>
      </x:c>
      <x:c r="C151" s="20" t="str">
        <x:v>板橋區</x:v>
      </x:c>
      <x:c r="D151" s="21" t="str">
        <x:v>松柏街15巷口</x:v>
      </x:c>
      <x:c r="E151" s="22" t="n">
        <x:v>116.4</x:v>
      </x:c>
      <x:c r="F151" s="22" t="n">
        <x:v>141.8</x:v>
      </x:c>
      <x:c r="G151" s="22" t="n">
        <x:f t="shared" si="20"/>
        <x:v>25.400000000000006</x:v>
      </x:c>
      <x:c r="H151" s="23" t="n">
        <x:f t="shared" si="21"/>
        <x:v>0.21821305841924402</x:v>
      </x:c>
      <x:c r="I151" s="23" t="n">
        <x:v>0.818644949494949</x:v>
      </x:c>
      <x:c r="J151" s="23" t="n">
        <x:v>0.806477777777778</x:v>
      </x:c>
      <x:c r="K151" s="23" t="n">
        <x:f t="shared" si="22"/>
        <x:v>-0.012167171717171077</x:v>
      </x:c>
      <x:c r="L151" s="23" t="n">
        <x:v>0.974748484848485</x:v>
      </x:c>
      <x:c r="M151" s="23" t="n">
        <x:v>0.911113333333333</x:v>
      </x:c>
      <x:c r="N151" s="23" t="n">
        <x:f t="shared" si="23"/>
        <x:v>-0.06363515151515198</x:v>
      </x:c>
      <x:c r="O151" s="23" t="n">
        <x:v>0.742930303030303</x:v>
      </x:c>
      <x:c r="P151" s="23" t="n">
        <x:v>0.80444</x:v>
      </x:c>
      <x:c r="Q151" s="23" t="n">
        <x:f t="shared" si="24"/>
        <x:v>0.06150969696969699</x:v>
      </x:c>
    </x:row>
    <x:row r="152">
      <x:c r="A152" s="24" t="n">
        <x:v>144</x:v>
      </x:c>
      <x:c r="B152" s="25" t="str">
        <x:v>新北市</x:v>
      </x:c>
      <x:c r="C152" s="25" t="str">
        <x:v>板橋區</x:v>
      </x:c>
      <x:c r="D152" s="26" t="str">
        <x:v>江翠國小</x:v>
      </x:c>
      <x:c r="E152" s="27" t="n">
        <x:v>136.5</x:v>
      </x:c>
      <x:c r="F152" s="27" t="n">
        <x:v>161.2</x:v>
      </x:c>
      <x:c r="G152" s="27" t="n">
        <x:f t="shared" si="20"/>
        <x:v>24.69999999999999</x:v>
      </x:c>
      <x:c r="H152" s="28" t="n">
        <x:f t="shared" si="21"/>
        <x:v>0.18095238095238086</x:v>
      </x:c>
      <x:c r="I152" s="28" t="n">
        <x:v>0.847896464646465</x:v>
      </x:c>
      <x:c r="J152" s="28" t="n">
        <x:v>0.848516666666667</x:v>
      </x:c>
      <x:c r="K152" s="28" t="n">
        <x:f t="shared" si="22"/>
        <x:v>0.0006202020202020764</x:v>
      </x:c>
      <x:c r="L152" s="28" t="n">
        <x:v>0.992928787878788</x:v>
      </x:c>
      <x:c r="M152" s="28" t="n">
        <x:v>0.982226666666667</x:v>
      </x:c>
      <x:c r="N152" s="28" t="n">
        <x:f t="shared" si="23"/>
        <x:v>-0.010702121212120996</x:v>
      </x:c>
      <x:c r="O152" s="28" t="n">
        <x:v>0.747224242424243</x:v>
      </x:c>
      <x:c r="P152" s="28" t="n">
        <x:v>0.896666666666667</x:v>
      </x:c>
      <x:c r="Q152" s="28" t="n">
        <x:f t="shared" si="24"/>
        <x:v>0.14944242424242393</x:v>
      </x:c>
    </x:row>
    <x:row r="153">
      <x:c r="A153" s="19" t="n">
        <x:v>145</x:v>
      </x:c>
      <x:c r="B153" s="20" t="str">
        <x:v>新北市</x:v>
      </x:c>
      <x:c r="C153" s="20" t="str">
        <x:v>板橋區</x:v>
      </x:c>
      <x:c r="D153" s="21" t="str">
        <x:v>府中汽車停車場</x:v>
      </x:c>
      <x:c r="E153" s="22" t="n">
        <x:v>133.4</x:v>
      </x:c>
      <x:c r="F153" s="22" t="n">
        <x:v>157.8</x:v>
      </x:c>
      <x:c r="G153" s="22" t="n">
        <x:f t="shared" si="20"/>
        <x:v>24.400000000000006</x:v>
      </x:c>
      <x:c r="H153" s="23" t="n">
        <x:f t="shared" si="21"/>
        <x:v>0.18290854572713647</x:v>
      </x:c>
      <x:c r="I153" s="23" t="n">
        <x:v>0.856734848484848</x:v>
      </x:c>
      <x:c r="J153" s="23" t="n">
        <x:v>0.858332222222222</x:v>
      </x:c>
      <x:c r="K153" s="23" t="n">
        <x:f t="shared" si="22"/>
        <x:v>0.0015973737373740082</x:v>
      </x:c>
      <x:c r="L153" s="23" t="n">
        <x:v>0.878283333333333</x:v>
      </x:c>
      <x:c r="M153" s="23" t="n">
        <x:v>0.775553333333333</x:v>
      </x:c>
      <x:c r="N153" s="23" t="n">
        <x:f t="shared" si="23"/>
        <x:v>-0.10272999999999999</x:v>
      </x:c>
      <x:c r="O153" s="23" t="n">
        <x:v>0.967422727272727</x:v>
      </x:c>
      <x:c r="P153" s="23" t="n">
        <x:v>0.993333333333333</x:v>
      </x:c>
      <x:c r="Q153" s="23" t="n">
        <x:f t="shared" si="24"/>
        <x:v>0.025910606060605912</x:v>
      </x:c>
    </x:row>
    <x:row r="154">
      <x:c r="A154" s="24" t="n">
        <x:v>146</x:v>
      </x:c>
      <x:c r="B154" s="25" t="str">
        <x:v>新北市</x:v>
      </x:c>
      <x:c r="C154" s="25" t="str">
        <x:v>新莊區</x:v>
      </x:c>
      <x:c r="D154" s="26" t="str">
        <x:v>捷運輔大站(1號出口)</x:v>
      </x:c>
      <x:c r="E154" s="27" t="n">
        <x:v>241.9</x:v>
      </x:c>
      <x:c r="F154" s="27" t="n">
        <x:v>266</x:v>
      </x:c>
      <x:c r="G154" s="27" t="n">
        <x:f t="shared" si="20"/>
        <x:v>24.099999999999994</x:v>
      </x:c>
      <x:c r="H154" s="28" t="n">
        <x:f t="shared" si="21"/>
        <x:v>0.09962794543199667</x:v>
      </x:c>
      <x:c r="I154" s="28" t="n">
        <x:v>0.868602777777778</x:v>
      </x:c>
      <x:c r="J154" s="28" t="n">
        <x:v>0.942592222222222</x:v>
      </x:c>
      <x:c r="K154" s="28" t="n">
        <x:f t="shared" si="22"/>
        <x:v>0.07398944444444411</x:v>
      </x:c>
      <x:c r="L154" s="28" t="n">
        <x:v>0.907828787878788</x:v>
      </x:c>
      <x:c r="M154" s="28" t="n">
        <x:v>0.872226666666667</x:v>
      </x:c>
      <x:c r="N154" s="28" t="n">
        <x:f t="shared" si="23"/>
        <x:v>-0.03560212121212092</x:v>
      </x:c>
      <x:c r="O154" s="28" t="n">
        <x:v>0.892171212121212</x:v>
      </x:c>
      <x:c r="P154" s="28" t="n">
        <x:v>0.983333333333333</x:v>
      </x:c>
      <x:c r="Q154" s="28" t="n">
        <x:f t="shared" si="24"/>
        <x:v>0.09116212121212097</x:v>
      </x:c>
    </x:row>
    <x:row r="155">
      <x:c r="A155" s="19" t="n">
        <x:v>147</x:v>
      </x:c>
      <x:c r="B155" s="20" t="str">
        <x:v>新北市</x:v>
      </x:c>
      <x:c r="C155" s="20" t="str">
        <x:v>板橋區</x:v>
      </x:c>
      <x:c r="D155" s="21" t="str">
        <x:v>捷運江子翠站(4號出口)</x:v>
      </x:c>
      <x:c r="E155" s="22" t="n">
        <x:v>140.8</x:v>
      </x:c>
      <x:c r="F155" s="22" t="n">
        <x:v>164.2</x:v>
      </x:c>
      <x:c r="G155" s="22" t="n">
        <x:f t="shared" si="20"/>
        <x:v>23.399999999999977</x:v>
      </x:c>
      <x:c r="H155" s="23" t="n">
        <x:f t="shared" si="21"/>
        <x:v>0.16619318181818166</x:v>
      </x:c>
      <x:c r="I155" s="23" t="n">
        <x:v>0.772937373737374</x:v>
      </x:c>
      <x:c r="J155" s="23" t="n">
        <x:v>0.775558888888889</x:v>
      </x:c>
      <x:c r="K155" s="23" t="n">
        <x:f t="shared" si="22"/>
        <x:v>0.002621515151514986</x:v>
      </x:c>
      <x:c r="L155" s="23" t="n">
        <x:v>1</x:v>
      </x:c>
      <x:c r="M155" s="23" t="n">
        <x:v>1</x:v>
      </x:c>
      <x:c r="N155" s="23" t="n">
        <x:f t="shared" si="23"/>
        <x:v>0</x:v>
      </x:c>
      <x:c r="O155" s="23" t="n">
        <x:v>0.605556060606061</x:v>
      </x:c>
      <x:c r="P155" s="23" t="n">
        <x:v>0.675566666666667</x:v>
      </x:c>
      <x:c r="Q155" s="23" t="n">
        <x:f t="shared" si="24"/>
        <x:v>0.07001060606060594</x:v>
      </x:c>
    </x:row>
    <x:row r="156">
      <x:c r="A156" s="24" t="n">
        <x:v>148</x:v>
      </x:c>
      <x:c r="B156" s="25" t="str">
        <x:v>新北市</x:v>
      </x:c>
      <x:c r="C156" s="25" t="str">
        <x:v>新莊區</x:v>
      </x:c>
      <x:c r="D156" s="26" t="str">
        <x:v>國家電影及視聽文化中心</x:v>
      </x:c>
      <x:c r="E156" s="27" t="n">
        <x:v>108.6</x:v>
      </x:c>
      <x:c r="F156" s="27" t="n">
        <x:v>131.8</x:v>
      </x:c>
      <x:c r="G156" s="27" t="n">
        <x:f t="shared" si="20"/>
        <x:v>23.200000000000017</x:v>
      </x:c>
      <x:c r="H156" s="28" t="n">
        <x:f t="shared" si="21"/>
        <x:v>0.21362799263351767</x:v>
      </x:c>
      <x:c r="I156" s="28" t="n">
        <x:v>0.886069444444445</x:v>
      </x:c>
      <x:c r="J156" s="28" t="n">
        <x:v>0.864256666666667</x:v>
      </x:c>
      <x:c r="K156" s="28" t="n">
        <x:f t="shared" si="22"/>
        <x:v>-0.021812777777778014</x:v>
      </x:c>
      <x:c r="L156" s="28" t="n">
        <x:v>0.82449696969697</x:v>
      </x:c>
      <x:c r="M156" s="28" t="n">
        <x:v>0.853326666666667</x:v>
      </x:c>
      <x:c r="N156" s="28" t="n">
        <x:f t="shared" si="23"/>
        <x:v>0.02882969696969706</x:v>
      </x:c>
      <x:c r="O156" s="28" t="n">
        <x:v>0.940659090909091</x:v>
      </x:c>
      <x:c r="P156" s="28" t="n">
        <x:v>0.903333333333333</x:v>
      </x:c>
      <x:c r="Q156" s="28" t="n">
        <x:f t="shared" si="24"/>
        <x:v>-0.037325757575757956</x:v>
      </x:c>
    </x:row>
    <x:row r="157">
      <x:c r="A157" s="19" t="n">
        <x:v>149</x:v>
      </x:c>
      <x:c r="B157" s="20" t="str">
        <x:v>新北市</x:v>
      </x:c>
      <x:c r="C157" s="20" t="str">
        <x:v>永和區</x:v>
      </x:c>
      <x:c r="D157" s="21" t="str">
        <x:v>捷運頂溪站(復興街1巷)</x:v>
      </x:c>
      <x:c r="E157" s="22" t="n">
        <x:v>116.6</x:v>
      </x:c>
      <x:c r="F157" s="22" t="n">
        <x:v>139</x:v>
      </x:c>
      <x:c r="G157" s="22" t="n">
        <x:f t="shared" si="20"/>
        <x:v>22.400000000000006</x:v>
      </x:c>
      <x:c r="H157" s="23" t="n">
        <x:f t="shared" si="21"/>
        <x:v>0.19210977701543744</x:v>
      </x:c>
      <x:c r="I157" s="23" t="n">
        <x:v>0.719528787878788</x:v>
      </x:c>
      <x:c r="J157" s="23" t="n">
        <x:v>0.714632222222222</x:v>
      </x:c>
      <x:c r="K157" s="23" t="n">
        <x:f t="shared" si="22"/>
        <x:v>-0.004896565656566043</x:v>
      </x:c>
      <x:c r="L157" s="23" t="n">
        <x:v>0.977777272727273</x:v>
      </x:c>
      <x:c r="M157" s="23" t="n">
        <x:v>1</x:v>
      </x:c>
      <x:c r="N157" s="23" t="n">
        <x:f t="shared" si="23"/>
        <x:v>0.022222727272727005</x:v>
      </x:c>
      <x:c r="O157" s="23" t="n">
        <x:v>0.539143939393939</x:v>
      </x:c>
      <x:c r="P157" s="23" t="n">
        <x:v>0.588893333333333</x:v>
      </x:c>
      <x:c r="Q157" s="23" t="n">
        <x:f t="shared" si="24"/>
        <x:v>0.04974939393939404</x:v>
      </x:c>
    </x:row>
    <x:row r="158">
      <x:c r="A158" s="24" t="n">
        <x:v>150</x:v>
      </x:c>
      <x:c r="B158" s="25" t="str">
        <x:v>新北市</x:v>
      </x:c>
      <x:c r="C158" s="25" t="str">
        <x:v>板橋區</x:v>
      </x:c>
      <x:c r="D158" s="26" t="str">
        <x:v>文德國小(公館街)</x:v>
      </x:c>
      <x:c r="E158" s="27" t="n">
        <x:v>137.7</x:v>
      </x:c>
      <x:c r="F158" s="27" t="n">
        <x:v>159.2</x:v>
      </x:c>
      <x:c r="G158" s="27" t="n">
        <x:f t="shared" si="20"/>
        <x:v>21.5</x:v>
      </x:c>
      <x:c r="H158" s="28" t="n">
        <x:f t="shared" si="21"/>
        <x:v>0.1561365286855483</x:v>
      </x:c>
      <x:c r="I158" s="28" t="n">
        <x:v>0.89267601010101</x:v>
      </x:c>
      <x:c r="J158" s="28" t="n">
        <x:v>0.82852</x:v>
      </x:c>
      <x:c r="K158" s="28" t="n">
        <x:f t="shared" si="22"/>
        <x:v>-0.06415601010101002</x:v>
      </x:c>
      <x:c r="L158" s="28" t="n">
        <x:v>0.792424242424243</x:v>
      </x:c>
      <x:c r="M158" s="28" t="n">
        <x:v>0.671113333333333</x:v>
      </x:c>
      <x:c r="N158" s="28" t="n">
        <x:f t="shared" si="23"/>
        <x:v>-0.12131090909091002</x:v>
      </x:c>
      <x:c r="O158" s="28" t="n">
        <x:v>0.989393939393939</x:v>
      </x:c>
      <x:c r="P158" s="28" t="n">
        <x:v>0.956673333333333</x:v>
      </x:c>
      <x:c r="Q158" s="28" t="n">
        <x:f t="shared" si="24"/>
        <x:v>-0.032720606060606006</x:v>
      </x:c>
    </x:row>
    <x:row r="159">
      <x:c r="A159" s="19" t="n">
        <x:v>151</x:v>
      </x:c>
      <x:c r="B159" s="20" t="str">
        <x:v>新北市</x:v>
      </x:c>
      <x:c r="C159" s="20" t="str">
        <x:v>三重區</x:v>
      </x:c>
      <x:c r="D159" s="21" t="str">
        <x:v>三重永豐公園</x:v>
      </x:c>
      <x:c r="E159" s="22" t="n">
        <x:v>139.6</x:v>
      </x:c>
      <x:c r="F159" s="22" t="n">
        <x:v>158.4</x:v>
      </x:c>
      <x:c r="G159" s="22" t="n">
        <x:f t="shared" si="20"/>
        <x:v>18.80000000000001</x:v>
      </x:c>
      <x:c r="H159" s="23" t="n">
        <x:f t="shared" si="21"/>
        <x:v>0.13467048710601728</x:v>
      </x:c>
      <x:c r="I159" s="23" t="n">
        <x:v>0.885816666666667</x:v>
      </x:c>
      <x:c r="J159" s="23" t="n">
        <x:v>0.885556666666667</x:v>
      </x:c>
      <x:c r="K159" s="23" t="n">
        <x:f t="shared" si="22"/>
        <x:v>-0.000260000000000038</x:v>
      </x:c>
      <x:c r="L159" s="23" t="n">
        <x:v>0.674239393939394</x:v>
      </x:c>
      <x:c r="M159" s="23" t="n">
        <x:v>0.68</x:v>
      </x:c>
      <x:c r="N159" s="23" t="n">
        <x:f t="shared" si="23"/>
        <x:v>0.005760606060606022</x:v>
      </x:c>
      <x:c r="O159" s="23" t="n">
        <x:v>0.999493939393939</x:v>
      </x:c>
      <x:c r="P159" s="23" t="n">
        <x:v>0.994446666666667</x:v>
      </x:c>
      <x:c r="Q159" s="23" t="n">
        <x:f t="shared" si="24"/>
        <x:v>-0.005047272727272012</x:v>
      </x:c>
    </x:row>
    <x:row r="160">
      <x:c r="A160" s="24" t="n">
        <x:v>152</x:v>
      </x:c>
      <x:c r="B160" s="25" t="str">
        <x:v>新北市</x:v>
      </x:c>
      <x:c r="C160" s="25" t="str">
        <x:v>三重區</x:v>
      </x:c>
      <x:c r="D160" s="26" t="str">
        <x:v>龍門公園</x:v>
      </x:c>
      <x:c r="E160" s="27" t="n">
        <x:v>122.6</x:v>
      </x:c>
      <x:c r="F160" s="27" t="n">
        <x:v>141.4</x:v>
      </x:c>
      <x:c r="G160" s="27" t="n">
        <x:f t="shared" si="20"/>
        <x:v>18.80000000000001</x:v>
      </x:c>
      <x:c r="H160" s="28" t="n">
        <x:f t="shared" si="21"/>
        <x:v>0.1533442088091355</x:v>
      </x:c>
      <x:c r="I160" s="28" t="n">
        <x:v>0.890656060606061</x:v>
      </x:c>
      <x:c r="J160" s="28" t="n">
        <x:v>0.819075555555556</x:v>
      </x:c>
      <x:c r="K160" s="28" t="n">
        <x:f t="shared" si="22"/>
        <x:v>-0.07158050505050495</x:v>
      </x:c>
      <x:c r="L160" s="28" t="n">
        <x:v>0.758078787878788</x:v>
      </x:c>
      <x:c r="M160" s="28" t="n">
        <x:v>0.466666666666667</x:v>
      </x:c>
      <x:c r="N160" s="28" t="n">
        <x:f t="shared" si="23"/>
        <x:v>-0.291412121212121</x:v>
      </x:c>
      <x:c r="O160" s="28" t="n">
        <x:v>1</x:v>
      </x:c>
      <x:c r="P160" s="28" t="n">
        <x:v>0.993333333333333</x:v>
      </x:c>
      <x:c r="Q160" s="28" t="n">
        <x:f t="shared" si="24"/>
        <x:v>-0.006666666666667043</x:v>
      </x:c>
    </x:row>
    <x:row r="161">
      <x:c r="A161" s="19" t="n">
        <x:v>153</x:v>
      </x:c>
      <x:c r="B161" s="20" t="str">
        <x:v>新北市</x:v>
      </x:c>
      <x:c r="C161" s="20" t="str">
        <x:v>永和區</x:v>
      </x:c>
      <x:c r="D161" s="21" t="str">
        <x:v>仁愛信義路口</x:v>
      </x:c>
      <x:c r="E161" s="22" t="n">
        <x:v>118.3</x:v>
      </x:c>
      <x:c r="F161" s="22" t="n">
        <x:v>136.8</x:v>
      </x:c>
      <x:c r="G161" s="22" t="n">
        <x:f t="shared" si="20"/>
        <x:v>18.500000000000014</x:v>
      </x:c>
      <x:c r="H161" s="23" t="n">
        <x:f t="shared" si="21"/>
        <x:v>0.15638207945900265</x:v>
      </x:c>
      <x:c r="I161" s="23" t="n">
        <x:v>0.816834848484849</x:v>
      </x:c>
      <x:c r="J161" s="23" t="n">
        <x:v>0.838518888888889</x:v>
      </x:c>
      <x:c r="K161" s="23" t="n">
        <x:f t="shared" si="22"/>
        <x:v>0.02168404040404004</x:v>
      </x:c>
      <x:c r="L161" s="23" t="n">
        <x:v>0.993180303030303</x:v>
      </x:c>
      <x:c r="M161" s="23" t="n">
        <x:v>0.915553333333333</x:v>
      </x:c>
      <x:c r="N161" s="23" t="n">
        <x:f t="shared" si="23"/>
        <x:v>-0.07762696969697003</x:v>
      </x:c>
      <x:c r="O161" s="23" t="n">
        <x:v>0.658840909090909</x:v>
      </x:c>
      <x:c r="P161" s="23" t="n">
        <x:v>0.83556</x:v>
      </x:c>
      <x:c r="Q161" s="23" t="n">
        <x:f t="shared" si="24"/>
        <x:v>0.176719090909091</x:v>
      </x:c>
    </x:row>
    <x:row r="162">
      <x:c r="A162" s="24" t="n">
        <x:v>154</x:v>
      </x:c>
      <x:c r="B162" s="25" t="str">
        <x:v>新北市</x:v>
      </x:c>
      <x:c r="C162" s="25" t="str">
        <x:v>板橋區</x:v>
      </x:c>
      <x:c r="D162" s="26" t="str">
        <x:v>民生中山路口</x:v>
      </x:c>
      <x:c r="E162" s="27" t="n">
        <x:v>176.8</x:v>
      </x:c>
      <x:c r="F162" s="27" t="n">
        <x:v>193.4</x:v>
      </x:c>
      <x:c r="G162" s="27" t="n">
        <x:f t="shared" si="20"/>
        <x:v>16.599999999999994</x:v>
      </x:c>
      <x:c r="H162" s="28" t="n">
        <x:f t="shared" si="21"/>
        <x:v>0.09389140271493208</x:v>
      </x:c>
      <x:c r="I162" s="28" t="n">
        <x:v>0.873274242424242</x:v>
      </x:c>
      <x:c r="J162" s="28" t="n">
        <x:v>0.874998888888889</x:v>
      </x:c>
      <x:c r="K162" s="28" t="n">
        <x:f t="shared" si="22"/>
        <x:v>0.001724646464646984</x:v>
      </x:c>
      <x:c r="L162" s="28" t="n">
        <x:v>0.698987878787879</x:v>
      </x:c>
      <x:c r="M162" s="28" t="n">
        <x:v>0.577773333333333</x:v>
      </x:c>
      <x:c r="N162" s="28" t="n">
        <x:f t="shared" si="23"/>
        <x:v>-0.12121454545454602</x:v>
      </x:c>
      <x:c r="O162" s="28" t="n">
        <x:v>0.992422727272727</x:v>
      </x:c>
      <x:c r="P162" s="28" t="n">
        <x:v>0.98222</x:v>
      </x:c>
      <x:c r="Q162" s="28" t="n">
        <x:f t="shared" si="24"/>
        <x:v>-0.010202727272726975</x:v>
      </x:c>
    </x:row>
    <x:row r="163">
      <x:c r="A163" s="19" t="n">
        <x:v>155</x:v>
      </x:c>
      <x:c r="B163" s="20" t="str">
        <x:v>新北市</x:v>
      </x:c>
      <x:c r="C163" s="20" t="str">
        <x:v>板橋區</x:v>
      </x:c>
      <x:c r="D163" s="21" t="str">
        <x:v>捷運江子翠站(5號出口)</x:v>
      </x:c>
      <x:c r="E163" s="22" t="n">
        <x:v>121.8</x:v>
      </x:c>
      <x:c r="F163" s="22" t="n">
        <x:v>136.8</x:v>
      </x:c>
      <x:c r="G163" s="22" t="n">
        <x:f t="shared" si="20"/>
        <x:v>15.000000000000014</x:v>
      </x:c>
      <x:c r="H163" s="23" t="n">
        <x:f t="shared" si="21"/>
        <x:v>0.12315270935960602</x:v>
      </x:c>
      <x:c r="I163" s="23" t="n">
        <x:v>0.853155303030303</x:v>
      </x:c>
      <x:c r="J163" s="23" t="n">
        <x:v>0.813333333333333</x:v>
      </x:c>
      <x:c r="K163" s="23" t="n">
        <x:f t="shared" si="22"/>
        <x:v>-0.03982196969696994</x:v>
      </x:c>
      <x:c r="L163" s="23" t="n">
        <x:v>1</x:v>
      </x:c>
      <x:c r="M163" s="23" t="n">
        <x:v>1</x:v>
      </x:c>
      <x:c r="N163" s="23" t="n">
        <x:f t="shared" si="23"/>
        <x:v>0</x:v>
      </x:c>
      <x:c r="O163" s="23" t="n">
        <x:v>0.791918181818182</x:v>
      </x:c>
      <x:c r="P163" s="23" t="n">
        <x:v>0.82444</x:v>
      </x:c>
      <x:c r="Q163" s="23" t="n">
        <x:f t="shared" si="24"/>
        <x:v>0.032521818181817985</x:v>
      </x:c>
    </x:row>
    <x:row r="164">
      <x:c r="A164" s="24" t="n">
        <x:v>156</x:v>
      </x:c>
      <x:c r="B164" s="25" t="str">
        <x:v>新北市</x:v>
      </x:c>
      <x:c r="C164" s="25" t="str">
        <x:v>永和區</x:v>
      </x:c>
      <x:c r="D164" s="26" t="str">
        <x:v>福和路7巷口</x:v>
      </x:c>
      <x:c r="E164" s="27" t="n">
        <x:v>106.9</x:v>
      </x:c>
      <x:c r="F164" s="27" t="n">
        <x:v>121.8</x:v>
      </x:c>
      <x:c r="G164" s="27" t="n">
        <x:f t="shared" si="20"/>
        <x:v>14.899999999999991</x:v>
      </x:c>
      <x:c r="H164" s="28" t="n">
        <x:f t="shared" si="21"/>
        <x:v>0.13938260056127214</x:v>
      </x:c>
      <x:c r="I164" s="28" t="n">
        <x:v>0.877567171717172</x:v>
      </x:c>
      <x:c r="J164" s="28" t="n">
        <x:v>0.891481111111111</x:v>
      </x:c>
      <x:c r="K164" s="28" t="n">
        <x:f t="shared" si="22"/>
        <x:v>0.013913939393938923</x:v>
      </x:c>
      <x:c r="L164" s="28" t="n">
        <x:v>0.791918181818182</x:v>
      </x:c>
      <x:c r="M164" s="28" t="n">
        <x:v>0.693333333333333</x:v>
      </x:c>
      <x:c r="N164" s="28" t="n">
        <x:f t="shared" si="23"/>
        <x:v>-0.09858484848484894</x:v>
      </x:c>
      <x:c r="O164" s="28" t="n">
        <x:v>0.991666666666667</x:v>
      </x:c>
      <x:c r="P164" s="28" t="n">
        <x:v>0.996666666666667</x:v>
      </x:c>
      <x:c r="Q164" s="28" t="n">
        <x:f t="shared" si="24"/>
        <x:v>0.0050000000000000044</x:v>
      </x:c>
    </x:row>
    <x:row r="165">
      <x:c r="A165" s="19" t="n">
        <x:v>157</x:v>
      </x:c>
      <x:c r="B165" s="20" t="str">
        <x:v>新北市</x:v>
      </x:c>
      <x:c r="C165" s="20" t="str">
        <x:v>板橋區</x:v>
      </x:c>
      <x:c r="D165" s="21" t="str">
        <x:v>民族路225巷</x:v>
      </x:c>
      <x:c r="E165" s="22" t="n">
        <x:v>108.6</x:v>
      </x:c>
      <x:c r="F165" s="22" t="n">
        <x:v>123.2</x:v>
      </x:c>
      <x:c r="G165" s="22" t="n">
        <x:f t="shared" si="20"/>
        <x:v>14.600000000000009</x:v>
      </x:c>
      <x:c r="H165" s="23" t="n">
        <x:f t="shared" si="21"/>
        <x:v>0.13443830570902401</x:v>
      </x:c>
      <x:c r="I165" s="23" t="n">
        <x:v>0.841077777777778</x:v>
      </x:c>
      <x:c r="J165" s="23" t="n">
        <x:v>0.835371111111111</x:v>
      </x:c>
      <x:c r="K165" s="23" t="n">
        <x:f t="shared" si="22"/>
        <x:v>-0.005706666666667082</x:v>
      </x:c>
      <x:c r="L165" s="23" t="n">
        <x:v>0.663130303030303</x:v>
      </x:c>
      <x:c r="M165" s="23" t="n">
        <x:v>0.75446</x:v>
      </x:c>
      <x:c r="N165" s="23" t="n">
        <x:f t="shared" si="23"/>
        <x:v>0.09132969696969706</x:v>
      </x:c>
      <x:c r="O165" s="23" t="n">
        <x:v>0.906315151515152</x:v>
      </x:c>
      <x:c r="P165" s="23" t="n">
        <x:v>0.933333333333333</x:v>
      </x:c>
      <x:c r="Q165" s="23" t="n">
        <x:f t="shared" si="24"/>
        <x:v>0.027018181818181053</x:v>
      </x:c>
    </x:row>
    <x:row r="166">
      <x:c r="A166" s="24" t="n">
        <x:v>158</x:v>
      </x:c>
      <x:c r="B166" s="25" t="str">
        <x:v>新北市</x:v>
      </x:c>
      <x:c r="C166" s="25" t="str">
        <x:v>板橋區</x:v>
      </x:c>
      <x:c r="D166" s="26" t="str">
        <x:v>夢奇地公園(文化路一段)</x:v>
      </x:c>
      <x:c r="E166" s="27" t="n">
        <x:v>127.4</x:v>
      </x:c>
      <x:c r="F166" s="27" t="n">
        <x:v>141.4</x:v>
      </x:c>
      <x:c r="G166" s="27" t="n">
        <x:f t="shared" si="20"/>
        <x:v>14</x:v>
      </x:c>
      <x:c r="H166" s="28" t="n">
        <x:f t="shared" si="21"/>
        <x:v>0.10989010989010989</x:v>
      </x:c>
      <x:c r="I166" s="28" t="n">
        <x:v>0.790995202020202</x:v>
      </x:c>
      <x:c r="J166" s="28" t="n">
        <x:v>0.780742222222222</x:v>
      </x:c>
      <x:c r="K166" s="28" t="n">
        <x:f t="shared" si="22"/>
        <x:v>-0.01025297979798001</x:v>
      </x:c>
      <x:c r="L166" s="28" t="n">
        <x:v>0.931059090909091</x:v>
      </x:c>
      <x:c r="M166" s="28" t="n">
        <x:v>0.771106666666667</x:v>
      </x:c>
      <x:c r="N166" s="28" t="n">
        <x:f t="shared" si="23"/>
        <x:v>-0.15995242424242395</x:v>
      </x:c>
      <x:c r="O166" s="28" t="n">
        <x:v>0.781822727272727</x:v>
      </x:c>
      <x:c r="P166" s="28" t="n">
        <x:v>0.843333333333333</x:v>
      </x:c>
      <x:c r="Q166" s="28" t="n">
        <x:f t="shared" si="24"/>
        <x:v>0.0615106060606061</x:v>
      </x:c>
    </x:row>
    <x:row r="167">
      <x:c r="A167" s="19" t="n">
        <x:v>159</x:v>
      </x:c>
      <x:c r="B167" s="20" t="str">
        <x:v>新北市</x:v>
      </x:c>
      <x:c r="C167" s="20" t="str">
        <x:v>三重區</x:v>
      </x:c>
      <x:c r="D167" s="21" t="str">
        <x:v>自強溪尾街口</x:v>
      </x:c>
      <x:c r="E167" s="22" t="n">
        <x:v>155.7</x:v>
      </x:c>
      <x:c r="F167" s="22" t="n">
        <x:v>169.4</x:v>
      </x:c>
      <x:c r="G167" s="22" t="n">
        <x:f t="shared" si="20"/>
        <x:v>13.700000000000017</x:v>
      </x:c>
      <x:c r="H167" s="23" t="n">
        <x:f t="shared" si="21"/>
        <x:v>0.08798972382787423</x:v>
      </x:c>
      <x:c r="I167" s="23" t="n">
        <x:v>0.872181565656566</x:v>
      </x:c>
      <x:c r="J167" s="23" t="n">
        <x:v>0.904258888888889</x:v>
      </x:c>
      <x:c r="K167" s="23" t="n">
        <x:f t="shared" si="22"/>
        <x:v>0.03207732323232293</x:v>
      </x:c>
      <x:c r="L167" s="23" t="n">
        <x:v>0.704298484848485</x:v>
      </x:c>
      <x:c r="M167" s="23" t="n">
        <x:v>0.864446666666667</x:v>
      </x:c>
      <x:c r="N167" s="23" t="n">
        <x:f t="shared" si="23"/>
        <x:v>0.16014818181818202</x:v>
      </x:c>
      <x:c r="O167" s="23" t="n">
        <x:v>0.992171212121212</x:v>
      </x:c>
      <x:c r="P167" s="23" t="n">
        <x:v>0.913326666666667</x:v>
      </x:c>
      <x:c r="Q167" s="23" t="n">
        <x:f t="shared" si="24"/>
        <x:v>-0.078844545454545</x:v>
      </x:c>
    </x:row>
    <x:row r="168">
      <x:c r="A168" s="24" t="n">
        <x:v>160</x:v>
      </x:c>
      <x:c r="B168" s="25" t="str">
        <x:v>新北市</x:v>
      </x:c>
      <x:c r="C168" s="25" t="str">
        <x:v>中和區</x:v>
      </x:c>
      <x:c r="D168" s="26" t="str">
        <x:v>興南路二段34巷口</x:v>
      </x:c>
      <x:c r="E168" s="27" t="n">
        <x:v>223.8</x:v>
      </x:c>
      <x:c r="F168" s="27" t="n">
        <x:v>237</x:v>
      </x:c>
      <x:c r="G168" s="27" t="n">
        <x:f t="shared" si="20"/>
        <x:v>13.199999999999989</x:v>
      </x:c>
      <x:c r="H168" s="28" t="n">
        <x:f t="shared" si="21"/>
        <x:v>0.05898123324396778</x:v>
      </x:c>
      <x:c r="I168" s="28" t="n">
        <x:v>0.898567929292929</x:v>
      </x:c>
      <x:c r="J168" s="28" t="n">
        <x:v>0.872964444444444</x:v>
      </x:c>
      <x:c r="K168" s="28" t="n">
        <x:f t="shared" si="22"/>
        <x:v>-0.02560348484848496</x:v>
      </x:c>
      <x:c r="L168" s="28" t="n">
        <x:v>0.789640909090909</x:v>
      </x:c>
      <x:c r="M168" s="28" t="n">
        <x:v>0.61444</x:v>
      </x:c>
      <x:c r="N168" s="28" t="n">
        <x:f t="shared" si="23"/>
        <x:v>-0.17520090909090902</x:v>
      </x:c>
      <x:c r="O168" s="28" t="n">
        <x:v>0.997475757575758</x:v>
      </x:c>
      <x:c r="P168" s="28" t="n">
        <x:v>1</x:v>
      </x:c>
      <x:c r="Q168" s="28" t="n">
        <x:f t="shared" si="24"/>
        <x:v>0.0025242424242419848</x:v>
      </x:c>
    </x:row>
    <x:row r="169">
      <x:c r="A169" s="19" t="n">
        <x:v>161</x:v>
      </x:c>
      <x:c r="B169" s="20" t="str">
        <x:v>新北市</x:v>
      </x:c>
      <x:c r="C169" s="20" t="str">
        <x:v>淡水區</x:v>
      </x:c>
      <x:c r="D169" s="21" t="str">
        <x:v>正德國中</x:v>
      </x:c>
      <x:c r="E169" s="22" t="n">
        <x:v>109.9</x:v>
      </x:c>
      <x:c r="F169" s="22" t="n">
        <x:v>122.2</x:v>
      </x:c>
      <x:c r="G169" s="22" t="n">
        <x:f t="shared" ref="G169:G199" si="25">IF(OR(E169="",F169=""),"",F169-E169)</x:f>
        <x:v>12.299999999999997</x:v>
      </x:c>
      <x:c r="H169" s="23" t="n">
        <x:f t="shared" ref="H169:H199" si="26">IF(OR(E169="",F169="",E169=0),"",(F169-E169)/E169)</x:f>
        <x:v>0.11191992720655138</x:v>
      </x:c>
      <x:c r="I169" s="23" t="n">
        <x:v>0.897895454545454</x:v>
      </x:c>
      <x:c r="J169" s="23" t="n">
        <x:v>0.990555555555556</x:v>
      </x:c>
      <x:c r="K169" s="23" t="n">
        <x:f t="shared" ref="K169:K199" si="27">IF(OR(I169="",J169=""),"",J169-I169)</x:f>
        <x:v>0.09266010101010191</x:v>
      </x:c>
      <x:c r="L169" s="23" t="n">
        <x:v>0.996716666666667</x:v>
      </x:c>
      <x:c r="M169" s="23" t="n">
        <x:v>1</x:v>
      </x:c>
      <x:c r="N169" s="23" t="n">
        <x:f t="shared" ref="N169:N199" si="28">IF(OR(L169="",M169=""),"",M169-L169)</x:f>
        <x:v>0.0032833333333329717</x:v>
      </x:c>
      <x:c r="O169" s="23" t="n">
        <x:v>0.74040303030303</x:v>
      </x:c>
      <x:c r="P169" s="23" t="n">
        <x:v>0.983333333333333</x:v>
      </x:c>
      <x:c r="Q169" s="23" t="n">
        <x:f t="shared" ref="Q169:Q199" si="29">IF(OR(O169="",P169=""),"",P169-O169)</x:f>
        <x:v>0.24293030303030294</x:v>
      </x:c>
    </x:row>
    <x:row r="170">
      <x:c r="A170" s="24" t="n">
        <x:v>162</x:v>
      </x:c>
      <x:c r="B170" s="25" t="str">
        <x:v>新北市</x:v>
      </x:c>
      <x:c r="C170" s="25" t="str">
        <x:v>永和區</x:v>
      </x:c>
      <x:c r="D170" s="26" t="str">
        <x:v>頂溪國小</x:v>
      </x:c>
      <x:c r="E170" s="27" t="n">
        <x:v>119.6</x:v>
      </x:c>
      <x:c r="F170" s="27" t="n">
        <x:v>131.6</x:v>
      </x:c>
      <x:c r="G170" s="27" t="n">
        <x:f t="shared" si="25"/>
        <x:v>12</x:v>
      </x:c>
      <x:c r="H170" s="28" t="n">
        <x:f t="shared" si="26"/>
        <x:v>0.10033444816053512</x:v>
      </x:c>
      <x:c r="I170" s="28" t="n">
        <x:v>0.886828787878788</x:v>
      </x:c>
      <x:c r="J170" s="28" t="n">
        <x:v>0.853521111111111</x:v>
      </x:c>
      <x:c r="K170" s="28" t="n">
        <x:f t="shared" si="27"/>
        <x:v>-0.0333076767676771</x:v>
      </x:c>
      <x:c r="L170" s="28" t="n">
        <x:v>0.698236363636364</x:v>
      </x:c>
      <x:c r="M170" s="28" t="n">
        <x:v>0.613333333333333</x:v>
      </x:c>
      <x:c r="N170" s="28" t="n">
        <x:f t="shared" si="28"/>
        <x:v>-0.08490303030303104</x:v>
      </x:c>
      <x:c r="O170" s="28" t="n">
        <x:v>0.96464696969697</x:v>
      </x:c>
      <x:c r="P170" s="28" t="n">
        <x:v>0.95334</x:v>
      </x:c>
      <x:c r="Q170" s="28" t="n">
        <x:f t="shared" si="29"/>
        <x:v>-0.011306969696969982</x:v>
      </x:c>
    </x:row>
    <x:row r="171">
      <x:c r="A171" s="19" t="n">
        <x:v>163</x:v>
      </x:c>
      <x:c r="B171" s="20" t="str">
        <x:v>新北市</x:v>
      </x:c>
      <x:c r="C171" s="20" t="str">
        <x:v>板橋區</x:v>
      </x:c>
      <x:c r="D171" s="21" t="str">
        <x:v>永豐公園活動中心</x:v>
      </x:c>
      <x:c r="E171" s="22" t="n">
        <x:v>107.1</x:v>
      </x:c>
      <x:c r="F171" s="22" t="n">
        <x:v>118.8</x:v>
      </x:c>
      <x:c r="G171" s="22" t="n">
        <x:f t="shared" si="25"/>
        <x:v>11.700000000000003</x:v>
      </x:c>
      <x:c r="H171" s="23" t="n">
        <x:f t="shared" si="26"/>
        <x:v>0.10924369747899162</x:v>
      </x:c>
      <x:c r="I171" s="23" t="n">
        <x:v>0.886194444444444</x:v>
      </x:c>
      <x:c r="J171" s="23" t="n">
        <x:v>0.893886666666667</x:v>
      </x:c>
      <x:c r="K171" s="23" t="n">
        <x:f t="shared" si="27"/>
        <x:v>0.0076922222222231</x:v>
      </x:c>
      <x:c r="L171" s="23" t="n">
        <x:v>0.576262121212121</x:v>
      </x:c>
      <x:c r="M171" s="23" t="n">
        <x:v>0.649986666666667</x:v>
      </x:c>
      <x:c r="N171" s="23" t="n">
        <x:f t="shared" si="28"/>
        <x:v>0.0737245454545461</x:v>
      </x:c>
      <x:c r="O171" s="23" t="n">
        <x:v>0.989140909090909</x:v>
      </x:c>
      <x:c r="P171" s="23" t="n">
        <x:v>0.975553333333333</x:v>
      </x:c>
      <x:c r="Q171" s="23" t="n">
        <x:f t="shared" si="29"/>
        <x:v>-0.013587575757575965</x:v>
      </x:c>
    </x:row>
    <x:row r="172">
      <x:c r="A172" s="24" t="n">
        <x:v>164</x:v>
      </x:c>
      <x:c r="B172" s="25" t="str">
        <x:v>新北市</x:v>
      </x:c>
      <x:c r="C172" s="25" t="str">
        <x:v>板橋區</x:v>
      </x:c>
      <x:c r="D172" s="26" t="str">
        <x:v>介壽街/文化路一段188巷9弄口</x:v>
      </x:c>
      <x:c r="E172" s="27" t="n">
        <x:v>100.6</x:v>
      </x:c>
      <x:c r="F172" s="27" t="n">
        <x:v>110</x:v>
      </x:c>
      <x:c r="G172" s="27" t="n">
        <x:f t="shared" si="25"/>
        <x:v>9.400000000000006</x:v>
      </x:c>
      <x:c r="H172" s="28" t="n">
        <x:f t="shared" si="26"/>
        <x:v>0.09343936381709747</x:v>
      </x:c>
      <x:c r="I172" s="28" t="n">
        <x:v>0.828114141414142</x:v>
      </x:c>
      <x:c r="J172" s="28" t="n">
        <x:v>0.772222222222222</x:v>
      </x:c>
      <x:c r="K172" s="28" t="n">
        <x:f t="shared" si="27"/>
        <x:v>-0.055891919191919937</x:v>
      </x:c>
      <x:c r="L172" s="28" t="n">
        <x:v>0.862877272727273</x:v>
      </x:c>
      <x:c r="M172" s="28" t="n">
        <x:v>0.526673333333333</x:v>
      </x:c>
      <x:c r="N172" s="28" t="n">
        <x:f t="shared" si="28"/>
        <x:v>-0.33620393939394</x:v>
      </x:c>
      <x:c r="O172" s="28" t="n">
        <x:v>0.818181818181818</x:v>
      </x:c>
      <x:c r="P172" s="28" t="n">
        <x:v>0.92888</x:v>
      </x:c>
      <x:c r="Q172" s="28" t="n">
        <x:f t="shared" si="29"/>
        <x:v>0.11069818181818203</x:v>
      </x:c>
    </x:row>
    <x:row r="173">
      <x:c r="A173" s="19" t="n">
        <x:v>165</x:v>
      </x:c>
      <x:c r="B173" s="20" t="str">
        <x:v>新北市</x:v>
      </x:c>
      <x:c r="C173" s="20" t="str">
        <x:v>新店區</x:v>
      </x:c>
      <x:c r="D173" s="21" t="str">
        <x:v>民權二十張路口</x:v>
      </x:c>
      <x:c r="E173" s="22" t="n">
        <x:v>104.3</x:v>
      </x:c>
      <x:c r="F173" s="22" t="n">
        <x:v>113.4</x:v>
      </x:c>
      <x:c r="G173" s="22" t="n">
        <x:f t="shared" si="25"/>
        <x:v>9.100000000000009</x:v>
      </x:c>
      <x:c r="H173" s="23" t="n">
        <x:f t="shared" si="26"/>
        <x:v>0.08724832214765109</x:v>
      </x:c>
      <x:c r="I173" s="23" t="n">
        <x:v>0.845749242424242</x:v>
      </x:c>
      <x:c r="J173" s="23" t="n">
        <x:v>0.792595555555556</x:v>
      </x:c>
      <x:c r="K173" s="23" t="n">
        <x:f t="shared" si="27"/>
        <x:v>-0.053153686868685934</x:v>
      </x:c>
      <x:c r="L173" s="23" t="n">
        <x:v>0.952021212121212</x:v>
      </x:c>
      <x:c r="M173" s="23" t="n">
        <x:v>0.973333333333333</x:v>
      </x:c>
      <x:c r="N173" s="23" t="n">
        <x:f t="shared" si="28"/>
        <x:v>0.021312121212121005</x:v>
      </x:c>
      <x:c r="O173" s="23" t="n">
        <x:v>0.836869696969697</x:v>
      </x:c>
      <x:c r="P173" s="23" t="n">
        <x:v>0.74</x:v>
      </x:c>
      <x:c r="Q173" s="23" t="n">
        <x:f t="shared" si="29"/>
        <x:v>-0.09686969696969705</x:v>
      </x:c>
    </x:row>
    <x:row r="174">
      <x:c r="A174" s="24" t="n">
        <x:v>166</x:v>
      </x:c>
      <x:c r="B174" s="25" t="str">
        <x:v>新北市</x:v>
      </x:c>
      <x:c r="C174" s="25" t="str">
        <x:v>林口區</x:v>
      </x:c>
      <x:c r="D174" s="26" t="str">
        <x:v>林口高中</x:v>
      </x:c>
      <x:c r="E174" s="27" t="n">
        <x:v>170.4</x:v>
      </x:c>
      <x:c r="F174" s="27" t="n">
        <x:v>176.6</x:v>
      </x:c>
      <x:c r="G174" s="27" t="n">
        <x:f t="shared" si="25"/>
        <x:v>6.199999999999989</x:v>
      </x:c>
      <x:c r="H174" s="28" t="n">
        <x:f t="shared" si="26"/>
        <x:v>0.03638497652582153</x:v>
      </x:c>
      <x:c r="I174" s="28" t="n">
        <x:v>0.874915151515152</x:v>
      </x:c>
      <x:c r="J174" s="28" t="n">
        <x:v>0.977037777777778</x:v>
      </x:c>
      <x:c r="K174" s="28" t="n">
        <x:f t="shared" si="27"/>
        <x:v>0.10212262626262603</x:v>
      </x:c>
      <x:c r="L174" s="28" t="n">
        <x:v>0.997980303030303</x:v>
      </x:c>
      <x:c r="M174" s="28" t="n">
        <x:v>1</x:v>
      </x:c>
      <x:c r="N174" s="28" t="n">
        <x:f t="shared" si="28"/>
        <x:v>0.002019696969696949</x:v>
      </x:c>
      <x:c r="O174" s="28" t="n">
        <x:v>0.775245454545455</x:v>
      </x:c>
      <x:c r="P174" s="28" t="n">
        <x:v>0.96222</x:v>
      </x:c>
      <x:c r="Q174" s="28" t="n">
        <x:f t="shared" si="29"/>
        <x:v>0.18697454545454495</x:v>
      </x:c>
    </x:row>
    <x:row r="175">
      <x:c r="A175" s="19" t="n">
        <x:v>167</x:v>
      </x:c>
      <x:c r="B175" s="20" t="str">
        <x:v>新北市</x:v>
      </x:c>
      <x:c r="C175" s="20" t="str">
        <x:v>中和區</x:v>
      </x:c>
      <x:c r="D175" s="21" t="str">
        <x:v>飛駝社區(興南路)</x:v>
      </x:c>
      <x:c r="E175" s="22" t="n">
        <x:v>153</x:v>
      </x:c>
      <x:c r="F175" s="22" t="n">
        <x:v>158.6</x:v>
      </x:c>
      <x:c r="G175" s="22" t="n">
        <x:f t="shared" si="25"/>
        <x:v>5.599999999999994</x:v>
      </x:c>
      <x:c r="H175" s="23" t="n">
        <x:f t="shared" si="26"/>
        <x:v>0.036601307189542444</x:v>
      </x:c>
      <x:c r="I175" s="23" t="n">
        <x:v>0.893603535353535</x:v>
      </x:c>
      <x:c r="J175" s="23" t="n">
        <x:v>0.880925555555556</x:v>
      </x:c>
      <x:c r="K175" s="23" t="n">
        <x:f t="shared" si="27"/>
        <x:v>-0.012677979797979022</x:v>
      </x:c>
      <x:c r="L175" s="23" t="n">
        <x:v>0.798484848484849</x:v>
      </x:c>
      <x:c r="M175" s="23" t="n">
        <x:v>0.721113333333333</x:v>
      </x:c>
      <x:c r="N175" s="23" t="n">
        <x:f t="shared" si="28"/>
        <x:v>-0.07737151515151597</x:v>
      </x:c>
      <x:c r="O175" s="23" t="n">
        <x:v>0.999242424242424</x:v>
      </x:c>
      <x:c r="P175" s="23" t="n">
        <x:v>0.996666666666667</x:v>
      </x:c>
      <x:c r="Q175" s="23" t="n">
        <x:f t="shared" si="29"/>
        <x:v>-0.0025757575757570095</x:v>
      </x:c>
    </x:row>
    <x:row r="176">
      <x:c r="A176" s="24" t="n">
        <x:v>168</x:v>
      </x:c>
      <x:c r="B176" s="25" t="str">
        <x:v>新北市</x:v>
      </x:c>
      <x:c r="C176" s="25" t="str">
        <x:v>板橋區</x:v>
      </x:c>
      <x:c r="D176" s="26" t="str">
        <x:v>板橋福德公園</x:v>
      </x:c>
      <x:c r="E176" s="27" t="n">
        <x:v>186.4</x:v>
      </x:c>
      <x:c r="F176" s="27" t="n">
        <x:v>191.8</x:v>
      </x:c>
      <x:c r="G176" s="27" t="n">
        <x:f t="shared" si="25"/>
        <x:v>5.400000000000006</x:v>
      </x:c>
      <x:c r="H176" s="28" t="n">
        <x:f t="shared" si="26"/>
        <x:v>0.028969957081545095</x:v>
      </x:c>
      <x:c r="I176" s="28" t="n">
        <x:v>0.85370202020202</x:v>
      </x:c>
      <x:c r="J176" s="28" t="n">
        <x:v>0.927592222222222</x:v>
      </x:c>
      <x:c r="K176" s="28" t="n">
        <x:f t="shared" si="27"/>
        <x:v>0.07389020202020202</x:v>
      </x:c>
      <x:c r="L176" s="28" t="n">
        <x:v>0.990656060606061</x:v>
      </x:c>
      <x:c r="M176" s="28" t="n">
        <x:v>0.971113333333333</x:v>
      </x:c>
      <x:c r="N176" s="28" t="n">
        <x:f t="shared" si="28"/>
        <x:v>-0.01954272727272799</x:v>
      </x:c>
      <x:c r="O176" s="28" t="n">
        <x:v>0.799993939393939</x:v>
      </x:c>
      <x:c r="P176" s="28" t="n">
        <x:v>1</x:v>
      </x:c>
      <x:c r="Q176" s="28" t="n">
        <x:f t="shared" si="29"/>
        <x:v>0.20000606060606096</x:v>
      </x:c>
    </x:row>
    <x:row r="177">
      <x:c r="A177" s="19" t="n">
        <x:v>169</x:v>
      </x:c>
      <x:c r="B177" s="20" t="str">
        <x:v>新北市</x:v>
      </x:c>
      <x:c r="C177" s="20" t="str">
        <x:v>淡水區</x:v>
      </x:c>
      <x:c r="D177" s="21" t="str">
        <x:v>淡江大學(水源街)</x:v>
      </x:c>
      <x:c r="E177" s="22" t="n">
        <x:v>101.2</x:v>
      </x:c>
      <x:c r="F177" s="22" t="n">
        <x:v>103.8</x:v>
      </x:c>
      <x:c r="G177" s="22" t="n">
        <x:f t="shared" si="25"/>
        <x:v>2.5999999999999943</x:v>
      </x:c>
      <x:c r="H177" s="23" t="n">
        <x:f t="shared" si="26"/>
        <x:v>0.025691699604743025</x:v>
      </x:c>
      <x:c r="I177" s="23" t="n">
        <x:v>0.866202525252525</x:v>
      </x:c>
      <x:c r="J177" s="23" t="n">
        <x:v>0.825372222222222</x:v>
      </x:c>
      <x:c r="K177" s="23" t="n">
        <x:f t="shared" si="27"/>
        <x:v>-0.040830303030302995</x:v>
      </x:c>
      <x:c r="L177" s="23" t="n">
        <x:v>0.872978787878788</x:v>
      </x:c>
      <x:c r="M177" s="23" t="n">
        <x:v>0.71334</x:v>
      </x:c>
      <x:c r="N177" s="23" t="n">
        <x:f t="shared" si="28"/>
        <x:v>-0.15963878787878805</x:v>
      </x:c>
      <x:c r="O177" s="23" t="n">
        <x:v>0.667168181818182</x:v>
      </x:c>
      <x:c r="P177" s="23" t="n">
        <x:v>0.874446666666667</x:v>
      </x:c>
      <x:c r="Q177" s="23" t="n">
        <x:f t="shared" si="29"/>
        <x:v>0.207278484848485</x:v>
      </x:c>
    </x:row>
    <x:row r="178">
      <x:c r="A178" s="24" t="n">
        <x:v>170</x:v>
      </x:c>
      <x:c r="B178" s="25" t="str">
        <x:v>新北市</x:v>
      </x:c>
      <x:c r="C178" s="25" t="str">
        <x:v>板橋區</x:v>
      </x:c>
      <x:c r="D178" s="26" t="str">
        <x:v>石雕公園</x:v>
      </x:c>
      <x:c r="E178" s="27" t="n">
        <x:v>131</x:v>
      </x:c>
      <x:c r="F178" s="27" t="n">
        <x:v>132.6</x:v>
      </x:c>
      <x:c r="G178" s="27" t="n">
        <x:f t="shared" si="25"/>
        <x:v>1.5999999999999943</x:v>
      </x:c>
      <x:c r="H178" s="28" t="n">
        <x:f t="shared" si="26"/>
        <x:v>0.012213740458015224</x:v>
      </x:c>
      <x:c r="I178" s="28" t="n">
        <x:v>0.84654898989899</x:v>
      </x:c>
      <x:c r="J178" s="28" t="n">
        <x:v>0.817218888888889</x:v>
      </x:c>
      <x:c r="K178" s="28" t="n">
        <x:f t="shared" si="27"/>
        <x:v>-0.029330101010100917</x:v>
      </x:c>
      <x:c r="L178" s="28" t="n">
        <x:v>0.99495</x:v>
      </x:c>
      <x:c r="M178" s="28" t="n">
        <x:v>0.816666666666667</x:v>
      </x:c>
      <x:c r="N178" s="28" t="n">
        <x:f t="shared" si="28"/>
        <x:v>-0.17828333333333302</x:v>
      </x:c>
      <x:c r="O178" s="28" t="n">
        <x:v>0.578278787878788</x:v>
      </x:c>
      <x:c r="P178" s="28" t="n">
        <x:v>0.911113333333333</x:v>
      </x:c>
      <x:c r="Q178" s="28" t="n">
        <x:f t="shared" si="29"/>
        <x:v>0.33283454545454505</x:v>
      </x:c>
    </x:row>
    <x:row r="179">
      <x:c r="A179" s="19" t="n">
        <x:v>171</x:v>
      </x:c>
      <x:c r="B179" s="20" t="str">
        <x:v>新北市</x:v>
      </x:c>
      <x:c r="C179" s="20" t="str">
        <x:v>永和區</x:v>
      </x:c>
      <x:c r="D179" s="21" t="str">
        <x:v>仁愛路40巷口</x:v>
      </x:c>
      <x:c r="E179" s="22" t="n">
        <x:v>157.5</x:v>
      </x:c>
      <x:c r="F179" s="22" t="n">
        <x:v>158.2</x:v>
      </x:c>
      <x:c r="G179" s="22" t="n">
        <x:f t="shared" si="25"/>
        <x:v>0.6999999999999886</x:v>
      </x:c>
      <x:c r="H179" s="23" t="n">
        <x:f t="shared" si="26"/>
        <x:v>0.0044444444444443724</x:v>
      </x:c>
      <x:c r="I179" s="23" t="n">
        <x:v>0.812877272727273</x:v>
      </x:c>
      <x:c r="J179" s="23" t="n">
        <x:v>0.828144444444445</x:v>
      </x:c>
      <x:c r="K179" s="23" t="n">
        <x:f t="shared" si="27"/>
        <x:v>0.015267171717172068</x:v>
      </x:c>
      <x:c r="L179" s="23" t="n">
        <x:v>0.991666666666667</x:v>
      </x:c>
      <x:c r="M179" s="23" t="n">
        <x:v>0.978886666666667</x:v>
      </x:c>
      <x:c r="N179" s="23" t="n">
        <x:f t="shared" si="28"/>
        <x:v>-0.012780000000000014</x:v>
      </x:c>
      <x:c r="O179" s="23" t="n">
        <x:v>0.618180303030303</x:v>
      </x:c>
      <x:c r="P179" s="23" t="n">
        <x:v>0.685546666666667</x:v>
      </x:c>
      <x:c r="Q179" s="23" t="n">
        <x:f t="shared" si="29"/>
        <x:v>0.06736636363636395</x:v>
      </x:c>
    </x:row>
    <x:row r="180">
      <x:c r="A180" s="24" t="n">
        <x:v>172</x:v>
      </x:c>
      <x:c r="B180" s="25" t="str">
        <x:v>新北市</x:v>
      </x:c>
      <x:c r="C180" s="25" t="str">
        <x:v>板橋區</x:v>
      </x:c>
      <x:c r="D180" s="26" t="str">
        <x:v>捷運亞東醫院站(3號出口)</x:v>
      </x:c>
      <x:c r="E180" s="27" t="n">
        <x:v>210.1</x:v>
      </x:c>
      <x:c r="F180" s="27" t="n">
        <x:v>210.6</x:v>
      </x:c>
      <x:c r="G180" s="27" t="n">
        <x:f t="shared" si="25"/>
        <x:v>0.5</x:v>
      </x:c>
      <x:c r="H180" s="28" t="n">
        <x:f t="shared" si="26"/>
        <x:v>0.002379819133745835</x:v>
      </x:c>
      <x:c r="I180" s="28" t="n">
        <x:v>0.890235353535353</x:v>
      </x:c>
      <x:c r="J180" s="28" t="n">
        <x:v>0.812038888888889</x:v>
      </x:c>
      <x:c r="K180" s="28" t="n">
        <x:f t="shared" si="27"/>
        <x:v>-0.07819646464646401</x:v>
      </x:c>
      <x:c r="L180" s="28" t="n">
        <x:v>1</x:v>
      </x:c>
      <x:c r="M180" s="28" t="n">
        <x:v>1</x:v>
      </x:c>
      <x:c r="N180" s="28" t="n">
        <x:f t="shared" si="28"/>
        <x:v>0</x:v>
      </x:c>
      <x:c r="O180" s="28" t="n">
        <x:v>0.824242424242424</x:v>
      </x:c>
      <x:c r="P180" s="28" t="n">
        <x:v>0.77444</x:v>
      </x:c>
      <x:c r="Q180" s="28" t="n">
        <x:f t="shared" si="29"/>
        <x:v>-0.04980242424242398</x:v>
      </x:c>
    </x:row>
    <x:row r="181">
      <x:c r="A181" s="19" t="n">
        <x:v>173</x:v>
      </x:c>
      <x:c r="B181" s="20" t="str">
        <x:v>新北市</x:v>
      </x:c>
      <x:c r="C181" s="20" t="str">
        <x:v>板橋區</x:v>
      </x:c>
      <x:c r="D181" s="21" t="str">
        <x:v>四維公園地下停車場</x:v>
      </x:c>
      <x:c r="E181" s="22" t="n">
        <x:v>258.1</x:v>
      </x:c>
      <x:c r="F181" s="22" t="n">
        <x:v>258.4</x:v>
      </x:c>
      <x:c r="G181" s="22" t="n">
        <x:f t="shared" si="25"/>
        <x:v>0.2999999999999545</x:v>
      </x:c>
      <x:c r="H181" s="23" t="n">
        <x:f t="shared" si="26"/>
        <x:v>0.0011623401782253177</x:v>
      </x:c>
      <x:c r="I181" s="23" t="n">
        <x:v>0.892171717171717</x:v>
      </x:c>
      <x:c r="J181" s="23" t="n">
        <x:v>0.915556666666667</x:v>
      </x:c>
      <x:c r="K181" s="23" t="n">
        <x:f t="shared" si="27"/>
        <x:v>0.02338494949495007</x:v>
      </x:c>
      <x:c r="L181" s="23" t="n">
        <x:v>0.658330303030303</x:v>
      </x:c>
      <x:c r="M181" s="23" t="n">
        <x:v>0.692226666666667</x:v>
      </x:c>
      <x:c r="N181" s="23" t="n">
        <x:f t="shared" si="28"/>
        <x:v>0.033896363636363946</x:v>
      </x:c>
      <x:c r="O181" s="23" t="n">
        <x:v>1</x:v>
      </x:c>
      <x:c r="P181" s="23" t="n">
        <x:v>0.994446666666667</x:v>
      </x:c>
      <x:c r="Q181" s="23" t="n">
        <x:f t="shared" si="29"/>
        <x:v>-0.005553333333332966</x:v>
      </x:c>
    </x:row>
    <x:row r="182">
      <x:c r="A182" s="24" t="n">
        <x:v>174</x:v>
      </x:c>
      <x:c r="B182" s="25" t="str">
        <x:v>新北市</x:v>
      </x:c>
      <x:c r="C182" s="25" t="str">
        <x:v>土城區</x:v>
      </x:c>
      <x:c r="D182" s="26" t="str">
        <x:v>金城裕民路口(中正國中)</x:v>
      </x:c>
      <x:c r="E182" s="27" t="n">
        <x:v>108.7</x:v>
      </x:c>
      <x:c r="F182" s="27" t="n">
        <x:v>107.6</x:v>
      </x:c>
      <x:c r="G182" s="27" t="n">
        <x:f t="shared" si="25"/>
        <x:v>-1.1000000000000085</x:v>
      </x:c>
      <x:c r="H182" s="28" t="n">
        <x:f t="shared" si="26"/>
        <x:v>-0.01011959521619143</x:v>
      </x:c>
      <x:c r="I182" s="28" t="n">
        <x:v>0.868393181818182</x:v>
      </x:c>
      <x:c r="J182" s="28" t="n">
        <x:v>0.832223333333333</x:v>
      </x:c>
      <x:c r="K182" s="28" t="n">
        <x:f t="shared" si="27"/>
        <x:v>-0.036169848484849054</x:v>
      </x:c>
      <x:c r="L182" s="28" t="n">
        <x:v>0.913387878787879</x:v>
      </x:c>
      <x:c r="M182" s="28" t="n">
        <x:v>0.598886666666667</x:v>
      </x:c>
      <x:c r="N182" s="28" t="n">
        <x:f t="shared" si="28"/>
        <x:v>-0.31450121212121196</x:v>
      </x:c>
      <x:c r="O182" s="28" t="n">
        <x:v>0.877018181818182</x:v>
      </x:c>
      <x:c r="P182" s="28" t="n">
        <x:v>0.97556</x:v>
      </x:c>
      <x:c r="Q182" s="28" t="n">
        <x:f t="shared" si="29"/>
        <x:v>0.09854181818181795</x:v>
      </x:c>
    </x:row>
    <x:row r="183">
      <x:c r="A183" s="19" t="n">
        <x:v>175</x:v>
      </x:c>
      <x:c r="B183" s="20" t="str">
        <x:v>新北市</x:v>
      </x:c>
      <x:c r="C183" s="20" t="str">
        <x:v>板橋區</x:v>
      </x:c>
      <x:c r="D183" s="21" t="str">
        <x:v>忠孝國中地下停車場</x:v>
      </x:c>
      <x:c r="E183" s="22" t="n">
        <x:v>164</x:v>
      </x:c>
      <x:c r="F183" s="22" t="n">
        <x:v>162.2</x:v>
      </x:c>
      <x:c r="G183" s="22" t="n">
        <x:f t="shared" si="25"/>
        <x:v>-1.8000000000000114</x:v>
      </x:c>
      <x:c r="H183" s="23" t="n">
        <x:f t="shared" si="26"/>
        <x:v>-0.01097560975609763</x:v>
      </x:c>
      <x:c r="I183" s="23" t="n">
        <x:v>0.862708585858586</x:v>
      </x:c>
      <x:c r="J183" s="23" t="n">
        <x:v>0.882593333333333</x:v>
      </x:c>
      <x:c r="K183" s="23" t="n">
        <x:f t="shared" si="27"/>
        <x:v>0.019884747474747</x:v>
      </x:c>
      <x:c r="L183" s="23" t="n">
        <x:v>0.816668181818182</x:v>
      </x:c>
      <x:c r="M183" s="23" t="n">
        <x:v>0.73444</x:v>
      </x:c>
      <x:c r="N183" s="23" t="n">
        <x:f t="shared" si="28"/>
        <x:v>-0.08222818181818203</x:v>
      </x:c>
      <x:c r="O183" s="23" t="n">
        <x:v>0.961107575757576</x:v>
      </x:c>
      <x:c r="P183" s="23" t="n">
        <x:v>1</x:v>
      </x:c>
      <x:c r="Q183" s="23" t="n">
        <x:f t="shared" si="29"/>
        <x:v>0.038892424242424006</x:v>
      </x:c>
    </x:row>
    <x:row r="184">
      <x:c r="A184" s="24" t="n">
        <x:v>176</x:v>
      </x:c>
      <x:c r="B184" s="25" t="str">
        <x:v>新北市</x:v>
      </x:c>
      <x:c r="C184" s="25" t="str">
        <x:v>板橋區</x:v>
      </x:c>
      <x:c r="D184" s="26" t="str">
        <x:v>板橋和平公園</x:v>
      </x:c>
      <x:c r="E184" s="27" t="n">
        <x:v>137</x:v>
      </x:c>
      <x:c r="F184" s="27" t="n">
        <x:v>135</x:v>
      </x:c>
      <x:c r="G184" s="27" t="n">
        <x:f t="shared" si="25"/>
        <x:v>-2</x:v>
      </x:c>
      <x:c r="H184" s="28" t="n">
        <x:f t="shared" si="26"/>
        <x:v>-0.014598540145985401</x:v>
      </x:c>
      <x:c r="I184" s="28" t="n">
        <x:v>0.883797222222222</x:v>
      </x:c>
      <x:c r="J184" s="28" t="n">
        <x:v>0.882961111111111</x:v>
      </x:c>
      <x:c r="K184" s="28" t="n">
        <x:f t="shared" si="27"/>
        <x:v>-0.0008361111111110375</x:v>
      </x:c>
      <x:c r="L184" s="28" t="n">
        <x:v>0.716160606060606</x:v>
      </x:c>
      <x:c r="M184" s="28" t="n">
        <x:v>0.89</x:v>
      </x:c>
      <x:c r="N184" s="28" t="n">
        <x:f t="shared" si="28"/>
        <x:v>0.17383939393939396</x:v>
      </x:c>
      <x:c r="O184" s="28" t="n">
        <x:v>0.95505</x:v>
      </x:c>
      <x:c r="P184" s="28" t="n">
        <x:v>0.98222</x:v>
      </x:c>
      <x:c r="Q184" s="28" t="n">
        <x:f t="shared" si="29"/>
        <x:v>0.027170000000000027</x:v>
      </x:c>
    </x:row>
    <x:row r="185">
      <x:c r="A185" s="19" t="n">
        <x:v>177</x:v>
      </x:c>
      <x:c r="B185" s="20" t="str">
        <x:v>新北市</x:v>
      </x:c>
      <x:c r="C185" s="20" t="str">
        <x:v>板橋區</x:v>
      </x:c>
      <x:c r="D185" s="21" t="str">
        <x:v>浮洲合宜住宅(合安一合宜路口)</x:v>
      </x:c>
      <x:c r="E185" s="22" t="n">
        <x:v>143.3</x:v>
      </x:c>
      <x:c r="F185" s="22" t="n">
        <x:v>140.2</x:v>
      </x:c>
      <x:c r="G185" s="22" t="n">
        <x:f t="shared" si="25"/>
        <x:v>-3.1000000000000227</x:v>
      </x:c>
      <x:c r="H185" s="23" t="n">
        <x:f t="shared" si="26"/>
        <x:v>-0.021632937892533306</x:v>
      </x:c>
      <x:c r="I185" s="23" t="n">
        <x:v>0.877734848484848</x:v>
      </x:c>
      <x:c r="J185" s="23" t="n">
        <x:v>0.762405555555555</x:v>
      </x:c>
      <x:c r="K185" s="23" t="n">
        <x:f t="shared" si="27"/>
        <x:v>-0.11532929292929295</x:v>
      </x:c>
      <x:c r="L185" s="23" t="n">
        <x:v>0.887875757575758</x:v>
      </x:c>
      <x:c r="M185" s="23" t="n">
        <x:v>0.5</x:v>
      </x:c>
      <x:c r="N185" s="23" t="n">
        <x:f t="shared" si="28"/>
        <x:v>-0.387875757575758</x:v>
      </x:c>
      <x:c r="O185" s="23" t="n">
        <x:v>0.950506060606061</x:v>
      </x:c>
      <x:c r="P185" s="23" t="n">
        <x:v>0.92222</x:v>
      </x:c>
      <x:c r="Q185" s="23" t="n">
        <x:f t="shared" si="29"/>
        <x:v>-0.02828606060606098</x:v>
      </x:c>
    </x:row>
    <x:row r="186">
      <x:c r="A186" s="24" t="n">
        <x:v>178</x:v>
      </x:c>
      <x:c r="B186" s="25" t="str">
        <x:v>新北市</x:v>
      </x:c>
      <x:c r="C186" s="25" t="str">
        <x:v>板橋區</x:v>
      </x:c>
      <x:c r="D186" s="26" t="str">
        <x:v>板橋公車站</x:v>
      </x:c>
      <x:c r="E186" s="27" t="n">
        <x:v>143.1</x:v>
      </x:c>
      <x:c r="F186" s="27" t="n">
        <x:v>139.4</x:v>
      </x:c>
      <x:c r="G186" s="27" t="n">
        <x:f t="shared" si="25"/>
        <x:v>-3.6999999999999886</x:v>
      </x:c>
      <x:c r="H186" s="28" t="n">
        <x:f t="shared" si="26"/>
        <x:v>-0.025856044723969174</x:v>
      </x:c>
      <x:c r="I186" s="28" t="n">
        <x:v>0.807365151515152</x:v>
      </x:c>
      <x:c r="J186" s="28" t="n">
        <x:v>0.794257777777778</x:v>
      </x:c>
      <x:c r="K186" s="28" t="n">
        <x:f t="shared" si="27"/>
        <x:v>-0.013107373737374028</x:v>
      </x:c>
      <x:c r="L186" s="28" t="n">
        <x:v>1</x:v>
      </x:c>
      <x:c r="M186" s="28" t="n">
        <x:v>1</x:v>
      </x:c>
      <x:c r="N186" s="28" t="n">
        <x:f t="shared" si="28"/>
        <x:v>0</x:v>
      </x:c>
      <x:c r="O186" s="28" t="n">
        <x:v>0.782574242424242</x:v>
      </x:c>
      <x:c r="P186" s="28" t="n">
        <x:v>0.675553333333334</x:v>
      </x:c>
      <x:c r="Q186" s="28" t="n">
        <x:f t="shared" si="29"/>
        <x:v>-0.107020909090908</x:v>
      </x:c>
    </x:row>
    <x:row r="187">
      <x:c r="A187" s="19" t="n">
        <x:v>179</x:v>
      </x:c>
      <x:c r="B187" s="20" t="str">
        <x:v>新北市</x:v>
      </x:c>
      <x:c r="C187" s="20" t="str">
        <x:v>板橋區</x:v>
      </x:c>
      <x:c r="D187" s="21" t="str">
        <x:v>板橋車站(新站路)</x:v>
      </x:c>
      <x:c r="E187" s="22" t="n">
        <x:v>268.5</x:v>
      </x:c>
      <x:c r="F187" s="22" t="n">
        <x:v>257.6</x:v>
      </x:c>
      <x:c r="G187" s="22" t="n">
        <x:f t="shared" si="25"/>
        <x:v>-10.899999999999977</x:v>
      </x:c>
      <x:c r="H187" s="23" t="n">
        <x:f t="shared" si="26"/>
        <x:v>-0.040595903165735484</x:v>
      </x:c>
      <x:c r="I187" s="23" t="n">
        <x:v>0.852776515151515</x:v>
      </x:c>
      <x:c r="J187" s="23" t="n">
        <x:v>0.833892222222222</x:v>
      </x:c>
      <x:c r="K187" s="23" t="n">
        <x:f t="shared" si="27"/>
        <x:v>-0.018884292929292945</x:v>
      </x:c>
      <x:c r="L187" s="23" t="n">
        <x:v>0.998231818181818</x:v>
      </x:c>
      <x:c r="M187" s="23" t="n">
        <x:v>1</x:v>
      </x:c>
      <x:c r="N187" s="23" t="n">
        <x:f t="shared" si="28"/>
        <x:v>0.0017681818181819464</x:v>
      </x:c>
      <x:c r="O187" s="23" t="n">
        <x:v>0.80884393939394</x:v>
      </x:c>
      <x:c r="P187" s="23" t="n">
        <x:v>0.737786666666667</x:v>
      </x:c>
      <x:c r="Q187" s="23" t="n">
        <x:f t="shared" si="29"/>
        <x:v>-0.07105727272727291</x:v>
      </x:c>
    </x:row>
    <x:row r="188">
      <x:c r="A188" s="24" t="n">
        <x:v>180</x:v>
      </x:c>
      <x:c r="B188" s="25" t="str">
        <x:v>新北市</x:v>
      </x:c>
      <x:c r="C188" s="25" t="str">
        <x:v>中和區</x:v>
      </x:c>
      <x:c r="D188" s="26" t="str">
        <x:v>華夏科技大學(華新街)</x:v>
      </x:c>
      <x:c r="E188" s="27" t="n">
        <x:v>136.6</x:v>
      </x:c>
      <x:c r="F188" s="27" t="n">
        <x:v>121.8</x:v>
      </x:c>
      <x:c r="G188" s="27" t="n">
        <x:f t="shared" si="25"/>
        <x:v>-14.799999999999997</x:v>
      </x:c>
      <x:c r="H188" s="28" t="n">
        <x:f t="shared" si="26"/>
        <x:v>-0.10834553440702781</x:v>
      </x:c>
      <x:c r="I188" s="28" t="n">
        <x:v>0.878283838383838</x:v>
      </x:c>
      <x:c r="J188" s="28" t="n">
        <x:v>0.755558888888889</x:v>
      </x:c>
      <x:c r="K188" s="28" t="n">
        <x:f t="shared" si="27"/>
        <x:v>-0.12272494949494894</x:v>
      </x:c>
      <x:c r="L188" s="28" t="n">
        <x:v>0.901012121212121</x:v>
      </x:c>
      <x:c r="M188" s="28" t="n">
        <x:v>0.555553333333333</x:v>
      </x:c>
      <x:c r="N188" s="28" t="n">
        <x:f t="shared" si="28"/>
        <x:v>-0.34545878787878803</x:v>
      </x:c>
      <x:c r="O188" s="28" t="n">
        <x:v>0.92954696969697</x:v>
      </x:c>
      <x:c r="P188" s="28" t="n">
        <x:v>0.902226666666667</x:v>
      </x:c>
      <x:c r="Q188" s="28" t="n">
        <x:f t="shared" si="29"/>
        <x:v>-0.027320303030303084</x:v>
      </x:c>
    </x:row>
    <x:row r="189">
      <x:c r="A189" s="19" t="n">
        <x:v>181</x:v>
      </x:c>
      <x:c r="B189" s="20" t="str">
        <x:v>新北市</x:v>
      </x:c>
      <x:c r="C189" s="20" t="str">
        <x:v>土城區</x:v>
      </x:c>
      <x:c r="D189" s="21" t="str">
        <x:v>捷運海山站(3號出口)</x:v>
      </x:c>
      <x:c r="E189" s="22" t="n">
        <x:v>292.6</x:v>
      </x:c>
      <x:c r="F189" s="22" t="n">
        <x:v>274.4</x:v>
      </x:c>
      <x:c r="G189" s="22" t="n">
        <x:f t="shared" si="25"/>
        <x:v>-18.200000000000045</x:v>
      </x:c>
      <x:c r="H189" s="23" t="n">
        <x:f t="shared" si="26"/>
        <x:v>-0.062200956937799194</x:v>
      </x:c>
      <x:c r="I189" s="23" t="n">
        <x:v>0.871464141414141</x:v>
      </x:c>
      <x:c r="J189" s="23" t="n">
        <x:v>0.797776666666667</x:v>
      </x:c>
      <x:c r="K189" s="23" t="n">
        <x:f t="shared" si="27"/>
        <x:v>-0.07368747474747395</x:v>
      </x:c>
      <x:c r="L189" s="23" t="n">
        <x:v>0.96035303030303</x:v>
      </x:c>
      <x:c r="M189" s="23" t="n">
        <x:v>0.918886666666667</x:v>
      </x:c>
      <x:c r="N189" s="23" t="n">
        <x:f t="shared" si="28"/>
        <x:v>-0.041466363636363024</x:v>
      </x:c>
      <x:c r="O189" s="23" t="n">
        <x:v>0.925506060606061</x:v>
      </x:c>
      <x:c r="P189" s="23" t="n">
        <x:v>0.806666666666667</x:v>
      </x:c>
      <x:c r="Q189" s="23" t="n">
        <x:f t="shared" si="29"/>
        <x:v>-0.11883939393939402</x:v>
      </x:c>
    </x:row>
    <x:row r="190">
      <x:c r="A190" s="24" t="n">
        <x:v>182</x:v>
      </x:c>
      <x:c r="B190" s="25" t="str">
        <x:v>新北市</x:v>
      </x:c>
      <x:c r="C190" s="25" t="str">
        <x:v>三重區</x:v>
      </x:c>
      <x:c r="D190" s="26" t="str">
        <x:v>捷運三和國中站(1號出口)</x:v>
      </x:c>
      <x:c r="E190" s="27" t="n">
        <x:v>357.2</x:v>
      </x:c>
      <x:c r="F190" s="27" t="n">
        <x:v>337.8</x:v>
      </x:c>
      <x:c r="G190" s="27" t="n">
        <x:f t="shared" si="25"/>
        <x:v>-19.399999999999977</x:v>
      </x:c>
      <x:c r="H190" s="28" t="n">
        <x:f t="shared" si="26"/>
        <x:v>-0.05431131019036948</x:v>
      </x:c>
      <x:c r="I190" s="28" t="n">
        <x:v>0.879713636363636</x:v>
      </x:c>
      <x:c r="J190" s="28" t="n">
        <x:v>0.898703333333333</x:v>
      </x:c>
      <x:c r="K190" s="28" t="n">
        <x:f t="shared" si="27"/>
        <x:v>0.01898969696969699</x:v>
      </x:c>
      <x:c r="L190" s="28" t="n">
        <x:v>1</x:v>
      </x:c>
      <x:c r="M190" s="28" t="n">
        <x:v>1</x:v>
      </x:c>
      <x:c r="N190" s="28" t="n">
        <x:f t="shared" si="28"/>
        <x:v>0</x:v>
      </x:c>
      <x:c r="O190" s="28" t="n">
        <x:v>0.800251515151515</x:v>
      </x:c>
      <x:c r="P190" s="28" t="n">
        <x:v>0.88222</x:v>
      </x:c>
      <x:c r="Q190" s="28" t="n">
        <x:f t="shared" si="29"/>
        <x:v>0.08196848484848496</x:v>
      </x:c>
    </x:row>
    <x:row r="191">
      <x:c r="A191" s="19" t="n">
        <x:v>183</x:v>
      </x:c>
      <x:c r="B191" s="20" t="str">
        <x:v>新北市</x:v>
      </x:c>
      <x:c r="C191" s="20" t="str">
        <x:v>板橋區</x:v>
      </x:c>
      <x:c r="D191" s="21" t="str">
        <x:v>板橋國小</x:v>
      </x:c>
      <x:c r="E191" s="22" t="n">
        <x:v>137.7</x:v>
      </x:c>
      <x:c r="F191" s="22" t="n">
        <x:v>117.6</x:v>
      </x:c>
      <x:c r="G191" s="22" t="n">
        <x:f t="shared" si="25"/>
        <x:v>-20.099999999999994</x:v>
      </x:c>
      <x:c r="H191" s="23" t="n">
        <x:f t="shared" si="26"/>
        <x:v>-0.14596949891067534</x:v>
      </x:c>
      <x:c r="I191" s="23" t="n">
        <x:v>0.863594696969697</x:v>
      </x:c>
      <x:c r="J191" s="23" t="n">
        <x:v>0.808888888888889</x:v>
      </x:c>
      <x:c r="K191" s="23" t="n">
        <x:f t="shared" si="27"/>
        <x:v>-0.05470580808080805</x:v>
      </x:c>
      <x:c r="L191" s="23" t="n">
        <x:v>0.988889393939394</x:v>
      </x:c>
      <x:c r="M191" s="23" t="n">
        <x:v>0.941113333333333</x:v>
      </x:c>
      <x:c r="N191" s="23" t="n">
        <x:f t="shared" si="28"/>
        <x:v>-0.04777606060606099</x:v>
      </x:c>
      <x:c r="O191" s="23" t="n">
        <x:v>0.891922727272727</x:v>
      </x:c>
      <x:c r="P191" s="23" t="n">
        <x:v>0.943333333333333</x:v>
      </x:c>
      <x:c r="Q191" s="23" t="n">
        <x:f t="shared" si="29"/>
        <x:v>0.05141060606060599</x:v>
      </x:c>
    </x:row>
    <x:row r="192">
      <x:c r="A192" s="24" t="n">
        <x:v>184</x:v>
      </x:c>
      <x:c r="B192" s="25" t="str">
        <x:v>新北市</x:v>
      </x:c>
      <x:c r="C192" s="25" t="str">
        <x:v>板橋區</x:v>
      </x:c>
      <x:c r="D192" s="26" t="str">
        <x:v>板橋車站</x:v>
      </x:c>
      <x:c r="E192" s="27" t="n">
        <x:v>495.5</x:v>
      </x:c>
      <x:c r="F192" s="27" t="n">
        <x:v>474</x:v>
      </x:c>
      <x:c r="G192" s="27" t="n">
        <x:f t="shared" si="25"/>
        <x:v>-21.5</x:v>
      </x:c>
      <x:c r="H192" s="28" t="n">
        <x:f t="shared" si="26"/>
        <x:v>-0.04339051463168517</x:v>
      </x:c>
      <x:c r="I192" s="28" t="n">
        <x:v>0.861531313131313</x:v>
      </x:c>
      <x:c r="J192" s="28" t="n">
        <x:v>0.871297777777778</x:v>
      </x:c>
      <x:c r="K192" s="28" t="n">
        <x:f t="shared" si="27"/>
        <x:v>0.009766464646464912</x:v>
      </x:c>
      <x:c r="L192" s="28" t="n">
        <x:v>1</x:v>
      </x:c>
      <x:c r="M192" s="28" t="n">
        <x:v>1</x:v>
      </x:c>
      <x:c r="N192" s="28" t="n">
        <x:f t="shared" si="28"/>
        <x:v>0</x:v>
      </x:c>
      <x:c r="O192" s="28" t="n">
        <x:v>0.838381818181818</x:v>
      </x:c>
      <x:c r="P192" s="28" t="n">
        <x:v>0.868886666666667</x:v>
      </x:c>
      <x:c r="Q192" s="28" t="n">
        <x:f t="shared" si="29"/>
        <x:v>0.030504848484849023</x:v>
      </x:c>
    </x:row>
    <x:row r="193">
      <x:c r="A193" s="19" t="n">
        <x:v>185</x:v>
      </x:c>
      <x:c r="B193" s="20" t="str">
        <x:v>新北市</x:v>
      </x:c>
      <x:c r="C193" s="20" t="str">
        <x:v>板橋區</x:v>
      </x:c>
      <x:c r="D193" s="21" t="str">
        <x:v>致理科技大學</x:v>
      </x:c>
      <x:c r="E193" s="22" t="n">
        <x:v>270.7</x:v>
      </x:c>
      <x:c r="F193" s="22" t="n">
        <x:v>245.2</x:v>
      </x:c>
      <x:c r="G193" s="22" t="n">
        <x:f t="shared" si="25"/>
        <x:v>-25.5</x:v>
      </x:c>
      <x:c r="H193" s="23" t="n">
        <x:f t="shared" si="26"/>
        <x:v>-0.09420022164758035</x:v>
      </x:c>
      <x:c r="I193" s="23" t="n">
        <x:v>0.873359848484849</x:v>
      </x:c>
      <x:c r="J193" s="23" t="n">
        <x:v>0.766487777777778</x:v>
      </x:c>
      <x:c r="K193" s="23" t="n">
        <x:f t="shared" si="27"/>
        <x:v>-0.10687207070707105</x:v>
      </x:c>
      <x:c r="L193" s="23" t="n">
        <x:v>0.711112121212121</x:v>
      </x:c>
      <x:c r="M193" s="23" t="n">
        <x:v>0.486673333333333</x:v>
      </x:c>
      <x:c r="N193" s="23" t="n">
        <x:f t="shared" si="28"/>
        <x:v>-0.22443878787878796</x:v>
      </x:c>
      <x:c r="O193" s="23" t="n">
        <x:v>0.881821212121212</x:v>
      </x:c>
      <x:c r="P193" s="23" t="n">
        <x:v>0.888893333333333</x:v>
      </x:c>
      <x:c r="Q193" s="23" t="n">
        <x:f t="shared" si="29"/>
        <x:v>0.007072121212120974</x:v>
      </x:c>
    </x:row>
    <x:row r="194">
      <x:c r="A194" s="24" t="n">
        <x:v>186</x:v>
      </x:c>
      <x:c r="B194" s="25" t="str">
        <x:v>新北市</x:v>
      </x:c>
      <x:c r="C194" s="25" t="str">
        <x:v>淡水區</x:v>
      </x:c>
      <x:c r="D194" s="26" t="str">
        <x:v>輕軌淡江大學站</x:v>
      </x:c>
      <x:c r="E194" s="27" t="n">
        <x:v>115.7</x:v>
      </x:c>
      <x:c r="F194" s="27" t="n">
        <x:v>89.2</x:v>
      </x:c>
      <x:c r="G194" s="27" t="n">
        <x:f t="shared" si="25"/>
        <x:v>-26.5</x:v>
      </x:c>
      <x:c r="H194" s="28" t="n">
        <x:f t="shared" si="26"/>
        <x:v>-0.22904062229904926</x:v>
      </x:c>
      <x:c r="I194" s="28" t="n">
        <x:v>0.847473484848485</x:v>
      </x:c>
      <x:c r="J194" s="28" t="n">
        <x:v>0.88685</x:v>
      </x:c>
      <x:c r="K194" s="28" t="n">
        <x:f t="shared" si="27"/>
        <x:v>0.03937651515151508</x:v>
      </x:c>
      <x:c r="L194" s="28" t="n">
        <x:v>0.861109090909091</x:v>
      </x:c>
      <x:c r="M194" s="28" t="n">
        <x:v>1</x:v>
      </x:c>
      <x:c r="N194" s="28" t="n">
        <x:f t="shared" si="28"/>
        <x:v>0.13889090909090895</x:v>
      </x:c>
      <x:c r="O194" s="28" t="n">
        <x:v>0.734593939393939</x:v>
      </x:c>
      <x:c r="P194" s="28" t="n">
        <x:v>0.823326666666667</x:v>
      </x:c>
      <x:c r="Q194" s="28" t="n">
        <x:f t="shared" si="29"/>
        <x:v>0.08873272727272796</x:v>
      </x:c>
    </x:row>
    <x:row r="195">
      <x:c r="A195" s="19" t="n">
        <x:v>187</x:v>
      </x:c>
      <x:c r="B195" s="20" t="str">
        <x:v>新北市</x:v>
      </x:c>
      <x:c r="C195" s="20" t="str">
        <x:v>土城區</x:v>
      </x:c>
      <x:c r="D195" s="21" t="str">
        <x:v>新北高工(明德路)</x:v>
      </x:c>
      <x:c r="E195" s="22" t="n">
        <x:v>106.8</x:v>
      </x:c>
      <x:c r="F195" s="22" t="n">
        <x:v>76.6</x:v>
      </x:c>
      <x:c r="G195" s="22" t="n">
        <x:f t="shared" si="25"/>
        <x:v>-30.200000000000003</x:v>
      </x:c>
      <x:c r="H195" s="23" t="n">
        <x:f t="shared" si="26"/>
        <x:v>-0.28277153558052437</x:v>
      </x:c>
      <x:c r="I195" s="23" t="n">
        <x:v>0.744233080808081</x:v>
      </x:c>
      <x:c r="J195" s="23" t="n">
        <x:v>0.539624444444445</x:v>
      </x:c>
      <x:c r="K195" s="23" t="n">
        <x:f t="shared" si="27"/>
        <x:v>-0.20460863636363602</x:v>
      </x:c>
      <x:c r="L195" s="23" t="n">
        <x:v>0.650506060606061</x:v>
      </x:c>
      <x:c r="M195" s="23" t="n">
        <x:v>0.226666666666667</x:v>
      </x:c>
      <x:c r="N195" s="23" t="n">
        <x:f t="shared" si="28"/>
        <x:v>-0.42383939393939396</x:v>
      </x:c>
      <x:c r="O195" s="23" t="n">
        <x:v>0.925759090909091</x:v>
      </x:c>
      <x:c r="P195" s="23" t="n">
        <x:v>0.808886666666667</x:v>
      </x:c>
      <x:c r="Q195" s="23" t="n">
        <x:f t="shared" si="29"/>
        <x:v>-0.11687242424242406</x:v>
      </x:c>
    </x:row>
    <x:row r="196">
      <x:c r="A196" s="24" t="n">
        <x:v>188</x:v>
      </x:c>
      <x:c r="B196" s="25" t="str">
        <x:v>新北市</x:v>
      </x:c>
      <x:c r="C196" s="25" t="str">
        <x:v>板橋區</x:v>
      </x:c>
      <x:c r="D196" s="26" t="str">
        <x:v>捷運環狀線板橋站(5號出口)</x:v>
      </x:c>
      <x:c r="E196" s="27" t="n">
        <x:v>170.5</x:v>
      </x:c>
      <x:c r="F196" s="27" t="n">
        <x:v>133.4</x:v>
      </x:c>
      <x:c r="G196" s="27" t="n">
        <x:f t="shared" si="25"/>
        <x:v>-37.099999999999994</x:v>
      </x:c>
      <x:c r="H196" s="28" t="n">
        <x:f t="shared" si="26"/>
        <x:v>-0.21759530791788853</x:v>
      </x:c>
      <x:c r="I196" s="28" t="n">
        <x:v>0.799410858585859</x:v>
      </x:c>
      <x:c r="J196" s="28" t="n">
        <x:v>0.791852222222222</x:v>
      </x:c>
      <x:c r="K196" s="28" t="n">
        <x:f t="shared" si="27"/>
        <x:v>-0.007558636363637072</x:v>
      </x:c>
      <x:c r="L196" s="28" t="n">
        <x:v>1</x:v>
      </x:c>
      <x:c r="M196" s="28" t="n">
        <x:v>1</x:v>
      </x:c>
      <x:c r="N196" s="28" t="n">
        <x:f t="shared" si="28"/>
        <x:v>0</x:v>
      </x:c>
      <x:c r="O196" s="28" t="n">
        <x:v>0.823989393939394</x:v>
      </x:c>
      <x:c r="P196" s="28" t="n">
        <x:v>0.825546666666667</x:v>
      </x:c>
      <x:c r="Q196" s="28" t="n">
        <x:f t="shared" si="29"/>
        <x:v>0.001557272727273018</x:v>
      </x:c>
    </x:row>
    <x:row r="197">
      <x:c r="A197" s="19" t="n">
        <x:v>189</x:v>
      </x:c>
      <x:c r="B197" s="20" t="str">
        <x:v>新北市</x:v>
      </x:c>
      <x:c r="C197" s="20" t="str">
        <x:v>土城區</x:v>
      </x:c>
      <x:c r="D197" s="21" t="str">
        <x:v>捷運海山站(1號出口)</x:v>
      </x:c>
      <x:c r="E197" s="22" t="n">
        <x:v>362.6</x:v>
      </x:c>
      <x:c r="F197" s="22" t="n">
        <x:v>323.6</x:v>
      </x:c>
      <x:c r="G197" s="22" t="n">
        <x:f t="shared" si="25"/>
        <x:v>-39</x:v>
      </x:c>
      <x:c r="H197" s="23" t="n">
        <x:f t="shared" si="26"/>
        <x:v>-0.10755653612796469</x:v>
      </x:c>
      <x:c r="I197" s="23" t="n">
        <x:v>0.894823737373737</x:v>
      </x:c>
      <x:c r="J197" s="23" t="n">
        <x:v>0.895184444444445</x:v>
      </x:c>
      <x:c r="K197" s="23" t="n">
        <x:f t="shared" si="27"/>
        <x:v>0.00036070707070801067</x:v>
      </x:c>
      <x:c r="L197" s="23" t="n">
        <x:v>1</x:v>
      </x:c>
      <x:c r="M197" s="23" t="n">
        <x:v>1</x:v>
      </x:c>
      <x:c r="N197" s="23" t="n">
        <x:f t="shared" si="28"/>
        <x:v>0</x:v>
      </x:c>
      <x:c r="O197" s="23" t="n">
        <x:v>0.965909090909091</x:v>
      </x:c>
      <x:c r="P197" s="23" t="n">
        <x:v>0.935553333333333</x:v>
      </x:c>
      <x:c r="Q197" s="23" t="n">
        <x:f t="shared" si="29"/>
        <x:v>-0.030355757575758036</x:v>
      </x:c>
    </x:row>
    <x:row r="198">
      <x:c r="A198" s="24" t="n">
        <x:v>190</x:v>
      </x:c>
      <x:c r="B198" s="25" t="str">
        <x:v>新北市</x:v>
      </x:c>
      <x:c r="C198" s="25" t="str">
        <x:v>板橋區</x:v>
      </x:c>
      <x:c r="D198" s="26" t="str">
        <x:v>健華新城社區</x:v>
      </x:c>
      <x:c r="E198" s="27" t="n">
        <x:v>403.6</x:v>
      </x:c>
      <x:c r="F198" s="27" t="n">
        <x:v>355.2</x:v>
      </x:c>
      <x:c r="G198" s="27" t="n">
        <x:f t="shared" si="25"/>
        <x:v>-48.400000000000034</x:v>
      </x:c>
      <x:c r="H198" s="28" t="n">
        <x:f t="shared" si="26"/>
        <x:v>-0.11992071357779988</x:v>
      </x:c>
      <x:c r="I198" s="28" t="n">
        <x:v>0.865192676767677</x:v>
      </x:c>
      <x:c r="J198" s="28" t="n">
        <x:v>0.786482222222222</x:v>
      </x:c>
      <x:c r="K198" s="28" t="n">
        <x:f t="shared" si="27"/>
        <x:v>-0.078710454545455</x:v>
      </x:c>
      <x:c r="L198" s="28" t="n">
        <x:v>0.950757575757576</x:v>
      </x:c>
      <x:c r="M198" s="28" t="n">
        <x:v>0.691113333333333</x:v>
      </x:c>
      <x:c r="N198" s="28" t="n">
        <x:f t="shared" si="28"/>
        <x:v>-0.259644242424243</x:v>
      </x:c>
      <x:c r="O198" s="28" t="n">
        <x:v>0.851513636363637</x:v>
      </x:c>
      <x:c r="P198" s="28" t="n">
        <x:v>0.822213333333333</x:v>
      </x:c>
      <x:c r="Q198" s="28" t="n">
        <x:f t="shared" si="29"/>
        <x:v>-0.029300303030303954</x:v>
      </x:c>
    </x:row>
    <x:row r="199">
      <x:c r="A199" s="19" t="n">
        <x:v>191</x:v>
      </x:c>
      <x:c r="B199" s="20" t="str">
        <x:v>新北市</x:v>
      </x:c>
      <x:c r="C199" s="20" t="str">
        <x:v>鶯歌區</x:v>
      </x:c>
      <x:c r="D199" s="21" t="str">
        <x:v>臺鐵鳳鳴站</x:v>
      </x:c>
      <x:c r="E199" s="22" t="n">
        <x:v>278.9</x:v>
      </x:c>
      <x:c r="F199" s="22"/>
      <x:c r="G199" s="22">
        <x:f t="shared" si="25"/>
      </x:c>
      <x:c r="H199" s="23">
        <x:f t="shared" si="26"/>
      </x:c>
      <x:c r="I199" s="23" t="n">
        <x:v>0.890194191919192</x:v>
      </x:c>
      <x:c r="J199" s="23"/>
      <x:c r="K199" s="23">
        <x:f t="shared" si="27"/>
      </x:c>
      <x:c r="L199" s="23" t="n">
        <x:v>1</x:v>
      </x:c>
      <x:c r="M199" s="23"/>
      <x:c r="N199" s="23">
        <x:f t="shared" si="28"/>
      </x:c>
      <x:c r="O199" s="23" t="n">
        <x:v>0.920960606060606</x:v>
      </x:c>
      <x:c r="P199" s="23"/>
      <x:c r="Q199" s="23">
        <x:f t="shared" si="29"/>
      </x:c>
    </x:row>
    <x:row r="200">
      <x:c r="A200" s="6" t="s">
        <x:v>18</x:v>
      </x:c>
      <x:c r="B200" s="6"/>
      <x:c r="C200" s="6"/>
      <x:c r="D200" s="6"/>
      <x:c r="E200" s="29" t="n">
        <x:f>SUM(E9:E199)</x:f>
        <x:v>47247.69999999999</x:v>
      </x:c>
      <x:c r="F200" s="29" t="n">
        <x:f>SUM(F9:F199)</x:f>
        <x:v>54434.000000000044</x:v>
      </x:c>
      <x:c r="G200" s="29" t="n">
        <x:f>F200-E200</x:f>
        <x:v>7186.300000000054</x:v>
      </x:c>
      <x:c r="H200" s="30" t="n">
        <x:f>IFERROR((F200-E200)/E200,"")</x:f>
        <x:v>0.15209840902308588</x:v>
      </x:c>
      <x:c r="I200" s="30" t="n">
        <x:f>AVERAGE(I9:I199)</x:f>
        <x:v>0.8559534769624177</x:v>
      </x:c>
      <x:c r="J200" s="30" t="n">
        <x:f>AVERAGE(J9:J199)</x:f>
        <x:v>0.8728891169590642</x:v>
      </x:c>
      <x:c r="K200" s="30" t="n">
        <x:f>J200-I200</x:f>
        <x:v>0.01693563999664649</x:v>
      </x:c>
      <x:c r="L200" s="30" t="n">
        <x:f>AVERAGE(L9:L199)</x:f>
        <x:v>0.8683150274379149</x:v>
      </x:c>
      <x:c r="M200" s="30" t="n">
        <x:f>AVERAGE(M9:M199)</x:f>
        <x:v>0.873072789473684</x:v>
      </x:c>
      <x:c r="N200" s="30" t="n">
        <x:f>M200-L200</x:f>
        <x:v>0.004757762035769164</x:v>
      </x:c>
      <x:c r="O200" s="30" t="n">
        <x:f>AVERAGE(O9:O199)</x:f>
        <x:v>0.8624181718322741</x:v>
      </x:c>
      <x:c r="P200" s="30" t="n">
        <x:f>AVERAGE(P9:P199)</x:f>
        <x:v>0.9026920877192982</x:v>
      </x:c>
      <x:c r="Q200" s="30" t="n">
        <x:f>P200-O200</x:f>
        <x:v>0.040273915887024114</x:v>
      </x:c>
    </x:row>
  </x:sheetData>
  <x:mergeCells>
    <x:mergeCell ref="A200:D200"/>
    <x:mergeCell ref="A6:Q6"/>
    <x:mergeCell ref="A7:A8"/>
    <x:mergeCell ref="B7:B8"/>
    <x:mergeCell ref="C7:C8"/>
    <x:mergeCell ref="D7:D8"/>
    <x:mergeCell ref="E7:H7"/>
    <x:mergeCell ref="I7:K7"/>
    <x:mergeCell ref="L7:N7"/>
    <x:mergeCell ref="O7:Q7"/>
    <x:mergeCell ref="A1:Q1"/>
    <x:mergeCell ref="A2:Q2"/>
    <x:mergeCell ref="A3:Q3"/>
    <x:mergeCell ref="A4:Q4"/>
    <x:mergeCell ref="A5:Q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328125" defaultRowHeight="14.5"/>
  <x:cols>
    <x:col min="1" max="1" width="8" customWidth="1"/>
    <x:col min="2" max="2" width="11" customWidth="1"/>
    <x:col min="3" max="3" width="6" customWidth="1"/>
    <x:col min="4" max="16" width="8.453125" customWidth="1"/>
  </x:cols>
  <x:sheetData>
    <x:row r="1" ht="25.5" customHeight="1">
      <x:c r="A1" s="14" t="s">
        <x:v>19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</x:row>
    <x:row r="2" ht="15" customHeight="1">
      <x:c r="A2" s="12" t="s">
        <x:v>20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</x:row>
    <x:row r="3" ht="15" customHeight="1">
      <x:c r="A3" s="13" t="s">
        <x:v>21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</x:row>
    <x:row r="4" ht="15" customHeight="1">
      <x:c r="A4" s="12" t="s">
        <x:v>22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</x:row>
    <x:row r="5" ht="18" customHeight="1">
      <x:c r="A5" s="11" t="s">
        <x:v>7</x:v>
      </x:c>
      <x:c r="B5" s="11" t="s">
        <x:v>8</x:v>
      </x:c>
      <x:c r="C5" s="11" t="s">
        <x:v>23</x:v>
      </x:c>
      <x:c r="D5" s="10" t="s">
        <x:v>24</x:v>
      </x:c>
      <x:c r="E5" s="10"/>
      <x:c r="F5" s="10"/>
      <x:c r="G5" s="10"/>
      <x:c r="H5" s="9" t="s">
        <x:v>11</x:v>
      </x:c>
      <x:c r="I5" s="9"/>
      <x:c r="J5" s="9"/>
      <x:c r="K5" s="8" t="s">
        <x:v>12</x:v>
      </x:c>
      <x:c r="L5" s="8"/>
      <x:c r="M5" s="8"/>
      <x:c r="N5" s="7" t="s">
        <x:v>13</x:v>
      </x:c>
      <x:c r="O5" s="7"/>
      <x:c r="P5" s="7"/>
    </x:row>
    <x:row r="6" ht="15" customHeight="1">
      <x:c r="A6" s="11"/>
      <x:c r="B6" s="11"/>
      <x:c r="C6" s="11"/>
      <x:c r="D6" s="15" t="s">
        <x:v>14</x:v>
      </x:c>
      <x:c r="E6" s="15" t="s">
        <x:v>15</x:v>
      </x:c>
      <x:c r="F6" s="16" t="s">
        <x:v>16</x:v>
      </x:c>
      <x:c r="G6" s="16" t="s">
        <x:v>17</x:v>
      </x:c>
      <x:c r="H6" s="17" t="s">
        <x:v>14</x:v>
      </x:c>
      <x:c r="I6" s="17" t="s">
        <x:v>15</x:v>
      </x:c>
      <x:c r="J6" s="18" t="s">
        <x:v>16</x:v>
      </x:c>
      <x:c r="K6" s="17" t="s">
        <x:v>14</x:v>
      </x:c>
      <x:c r="L6" s="17" t="s">
        <x:v>15</x:v>
      </x:c>
      <x:c r="M6" s="18" t="s">
        <x:v>16</x:v>
      </x:c>
      <x:c r="N6" s="17" t="s">
        <x:v>14</x:v>
      </x:c>
      <x:c r="O6" s="17" t="s">
        <x:v>15</x:v>
      </x:c>
      <x:c r="P6" s="18" t="s">
        <x:v>16</x:v>
      </x:c>
    </x:row>
    <x:row r="7">
      <x:c r="A7" s="20" t="str">
        <x:v>台北市</x:v>
      </x:c>
      <x:c r="B7" s="21" t="str">
        <x:v>信義區</x:v>
      </x:c>
      <x:c r="C7" s="19" t="n">
        <x:v>8</x:v>
      </x:c>
      <x:c r="D7" s="22" t="n">
        <x:v>2331.2</x:v>
      </x:c>
      <x:c r="E7" s="22" t="n">
        <x:v>2921</x:v>
      </x:c>
      <x:c r="F7" s="22" t="n">
        <x:f t="shared" ref="F7:F31" si="0">IF(OR(D7="",E7=""),"",E7-D7)</x:f>
        <x:v>589.8000000000002</x:v>
      </x:c>
      <x:c r="G7" s="23" t="n">
        <x:f t="shared" ref="G7:G31" si="1">IF(OR(D7="",E7="",D7=0),"",(E7-D7)/D7)</x:f>
        <x:v>0.25300274536719297</x:v>
      </x:c>
      <x:c r="H7" s="23" t="n">
        <x:v>0.872774873737374</x:v>
      </x:c>
      <x:c r="I7" s="23" t="n">
        <x:v>0.897731805555556</x:v>
      </x:c>
      <x:c r="J7" s="23" t="n">
        <x:f t="shared" ref="J7:J31" si="2">IF(OR(H7="",I7=""),"",I7-H7)</x:f>
        <x:v>0.024956931818182038</x:v>
      </x:c>
      <x:c r="K7" s="23" t="n">
        <x:v>0.947381060606061</x:v>
      </x:c>
      <x:c r="L7" s="23" t="n">
        <x:v>0.96736</x:v>
      </x:c>
      <x:c r="M7" s="23" t="n">
        <x:f t="shared" ref="M7:M31" si="3">IF(OR(K7="",L7=""),"",L7-K7)</x:f>
        <x:v>0.01997893939393902</x:v>
      </x:c>
      <x:c r="N7" s="23" t="n">
        <x:v>0.910922348484848</x:v>
      </x:c>
      <x:c r="O7" s="23" t="n">
        <x:v>0.8980575</x:v>
      </x:c>
      <x:c r="P7" s="23" t="n">
        <x:f t="shared" ref="P7:P31" si="4">IF(OR(N7="",O7=""),"",O7-N7)</x:f>
        <x:v>-0.012864848484848035</x:v>
      </x:c>
    </x:row>
    <x:row r="8">
      <x:c r="A8" s="20" t="str">
        <x:v>台北市</x:v>
      </x:c>
      <x:c r="B8" s="21" t="str">
        <x:v>松山區</x:v>
      </x:c>
      <x:c r="C8" s="19" t="n">
        <x:v>6</x:v>
      </x:c>
      <x:c r="D8" s="22" t="n">
        <x:v>1963.3</x:v>
      </x:c>
      <x:c r="E8" s="22" t="n">
        <x:v>2413.6</x:v>
      </x:c>
      <x:c r="F8" s="22" t="n">
        <x:f t="shared" si="0"/>
        <x:v>450.29999999999995</x:v>
      </x:c>
      <x:c r="G8" s="23" t="n">
        <x:f t="shared" si="1"/>
        <x:v>0.229358732745887</x:v>
      </x:c>
      <x:c r="H8" s="23" t="n">
        <x:v>0.867704671717172</x:v>
      </x:c>
      <x:c r="I8" s="23" t="n">
        <x:v>0.854814259259259</x:v>
      </x:c>
      <x:c r="J8" s="23" t="n">
        <x:f t="shared" si="2"/>
        <x:v>-0.012890412457913003</x:v>
      </x:c>
      <x:c r="K8" s="23" t="n">
        <x:v>0.87781994949495</x:v>
      </x:c>
      <x:c r="L8" s="23" t="n">
        <x:v>0.844073333333333</x:v>
      </x:c>
      <x:c r="M8" s="23" t="n">
        <x:f t="shared" si="3"/>
        <x:v>-0.033746616161617005</x:v>
      </x:c>
      <x:c r="N8" s="23" t="n">
        <x:v>0.925379545454546</x:v>
      </x:c>
      <x:c r="O8" s="23" t="n">
        <x:v>0.913885555555556</x:v>
      </x:c>
      <x:c r="P8" s="23" t="n">
        <x:f t="shared" si="4"/>
        <x:v>-0.011493989898990087</x:v>
      </x:c>
    </x:row>
    <x:row r="9">
      <x:c r="A9" s="20" t="str">
        <x:v>台北市</x:v>
      </x:c>
      <x:c r="B9" s="21" t="str">
        <x:v>萬華區</x:v>
      </x:c>
      <x:c r="C9" s="19" t="n">
        <x:v>3</x:v>
      </x:c>
      <x:c r="D9" s="22" t="n">
        <x:v>1007.1</x:v>
      </x:c>
      <x:c r="E9" s="22" t="n">
        <x:v>1389.2</x:v>
      </x:c>
      <x:c r="F9" s="22" t="n">
        <x:f t="shared" si="0"/>
        <x:v>382.1</x:v>
      </x:c>
      <x:c r="G9" s="23" t="n">
        <x:f t="shared" si="1"/>
        <x:v>0.3794062158673419</x:v>
      </x:c>
      <x:c r="H9" s="23" t="n">
        <x:v>0.835282912457913</x:v>
      </x:c>
      <x:c r="I9" s="23" t="n">
        <x:v>0.870616296296296</x:v>
      </x:c>
      <x:c r="J9" s="23" t="n">
        <x:f t="shared" si="2"/>
        <x:v>0.035333383838383026</x:v>
      </x:c>
      <x:c r="K9" s="23" t="n">
        <x:v>0.972642424242424</x:v>
      </x:c>
      <x:c r="L9" s="23" t="n">
        <x:v>0.99</x:v>
      </x:c>
      <x:c r="M9" s="23" t="n">
        <x:f t="shared" si="3"/>
        <x:v>0.017357575757576016</x:v>
      </x:c>
      <x:c r="N9" s="23" t="n">
        <x:v>0.762371212121212</x:v>
      </x:c>
      <x:c r="O9" s="23" t="n">
        <x:v>0.822586666666667</x:v>
      </x:c>
      <x:c r="P9" s="23" t="n">
        <x:f t="shared" si="4"/>
        <x:v>0.06021545454545507</x:v>
      </x:c>
    </x:row>
    <x:row r="10">
      <x:c r="A10" s="20" t="str">
        <x:v>台北市</x:v>
      </x:c>
      <x:c r="B10" s="21" t="str">
        <x:v>內湖區</x:v>
      </x:c>
      <x:c r="C10" s="19" t="n">
        <x:v>5</x:v>
      </x:c>
      <x:c r="D10" s="22" t="n">
        <x:v>1448.7</x:v>
      </x:c>
      <x:c r="E10" s="22" t="n">
        <x:v>1765.4</x:v>
      </x:c>
      <x:c r="F10" s="22" t="n">
        <x:f t="shared" si="0"/>
        <x:v>316.70000000000005</x:v>
      </x:c>
      <x:c r="G10" s="23" t="n">
        <x:f t="shared" si="1"/>
        <x:v>0.21860978808587012</x:v>
      </x:c>
      <x:c r="H10" s="23" t="n">
        <x:v>0.864207878787879</x:v>
      </x:c>
      <x:c r="I10" s="23" t="n">
        <x:v>0.870516888888889</x:v>
      </x:c>
      <x:c r="J10" s="23" t="n">
        <x:f t="shared" si="2"/>
        <x:v>0.0063090101010100375</x:v>
      </x:c>
      <x:c r="K10" s="23" t="n">
        <x:v>0.903635757575758</x:v>
      </x:c>
      <x:c r="L10" s="23" t="n">
        <x:v>0.855112</x:v>
      </x:c>
      <x:c r="M10" s="23" t="n">
        <x:f t="shared" si="3"/>
        <x:v>-0.048523757575758</x:v>
      </x:c>
      <x:c r="N10" s="23" t="n">
        <x:v>0.867222727272727</x:v>
      </x:c>
      <x:c r="O10" s="23" t="n">
        <x:v>0.880444</x:v>
      </x:c>
      <x:c r="P10" s="23" t="n">
        <x:f t="shared" si="4"/>
        <x:v>0.013221272727273026</x:v>
      </x:c>
    </x:row>
    <x:row r="11">
      <x:c r="A11" s="20" t="str">
        <x:v>台北市</x:v>
      </x:c>
      <x:c r="B11" s="21" t="str">
        <x:v>中山區</x:v>
      </x:c>
      <x:c r="C11" s="19" t="n">
        <x:v>3</x:v>
      </x:c>
      <x:c r="D11" s="22" t="n">
        <x:v>1038.4</x:v>
      </x:c>
      <x:c r="E11" s="22" t="n">
        <x:v>1246.8</x:v>
      </x:c>
      <x:c r="F11" s="22" t="n">
        <x:f t="shared" si="0"/>
        <x:v>208.39999999999986</x:v>
      </x:c>
      <x:c r="G11" s="23" t="n">
        <x:f t="shared" si="1"/>
        <x:v>0.20069337442218782</x:v>
      </x:c>
      <x:c r="H11" s="23" t="n">
        <x:v>0.894374663299664</x:v>
      </x:c>
      <x:c r="I11" s="23" t="n">
        <x:v>0.890061111111111</x:v>
      </x:c>
      <x:c r="J11" s="23" t="n">
        <x:f t="shared" si="2"/>
        <x:v>-0.004313552188553005</x:v>
      </x:c>
      <x:c r="K11" s="23" t="n">
        <x:v>0.987289898989899</x:v>
      </x:c>
      <x:c r="L11" s="23" t="n">
        <x:v>0.951113333333333</x:v>
      </x:c>
      <x:c r="M11" s="23" t="n">
        <x:f t="shared" si="3"/>
        <x:v>-0.03617656565656602</x:v>
      </x:c>
      <x:c r="N11" s="23" t="n">
        <x:v>0.901682323232323</x:v>
      </x:c>
      <x:c r="O11" s="23" t="n">
        <x:v>0.929631111111111</x:v>
      </x:c>
      <x:c r="P11" s="23" t="n">
        <x:f t="shared" si="4"/>
        <x:v>0.027948787878787962</x:v>
      </x:c>
    </x:row>
    <x:row r="12">
      <x:c r="A12" s="20" t="str">
        <x:v>台北市</x:v>
      </x:c>
      <x:c r="B12" s="21" t="str">
        <x:v>大安區</x:v>
      </x:c>
      <x:c r="C12" s="19" t="n">
        <x:v>21</x:v>
      </x:c>
      <x:c r="D12" s="22" t="n">
        <x:v>7095.9</x:v>
      </x:c>
      <x:c r="E12" s="22" t="n">
        <x:v>7279.6</x:v>
      </x:c>
      <x:c r="F12" s="22" t="n">
        <x:f t="shared" si="0"/>
        <x:v>183.70000000000073</x:v>
      </x:c>
      <x:c r="G12" s="23" t="n">
        <x:f t="shared" si="1"/>
        <x:v>0.025888188954184915</x:v>
      </x:c>
      <x:c r="H12" s="23" t="n">
        <x:v>0.851743722943723</x:v>
      </x:c>
      <x:c r="I12" s="23" t="n">
        <x:v>0.922168888888889</x:v>
      </x:c>
      <x:c r="J12" s="23" t="n">
        <x:f t="shared" si="2"/>
        <x:v>0.07042516594516601</x:v>
      </x:c>
      <x:c r="K12" s="23" t="n">
        <x:v>0.853751948051948</x:v>
      </x:c>
      <x:c r="L12" s="23" t="n">
        <x:v>0.942963492063492</x:v>
      </x:c>
      <x:c r="M12" s="23" t="n">
        <x:f t="shared" si="3"/>
        <x:v>0.08921154401154396</x:v>
      </x:c>
      <x:c r="N12" s="23" t="n">
        <x:v>0.874603391053391</x:v>
      </x:c>
      <x:c r="O12" s="23" t="n">
        <x:v>0.929998095238095</x:v>
      </x:c>
      <x:c r="P12" s="23" t="n">
        <x:f t="shared" si="4"/>
        <x:v>0.055394704184703936</x:v>
      </x:c>
    </x:row>
    <x:row r="13">
      <x:c r="A13" s="20" t="str">
        <x:v>台北市</x:v>
      </x:c>
      <x:c r="B13" s="21" t="str">
        <x:v>文山區</x:v>
      </x:c>
      <x:c r="C13" s="19" t="n">
        <x:v>2</x:v>
      </x:c>
      <x:c r="D13" s="22" t="n">
        <x:v>549.9</x:v>
      </x:c>
      <x:c r="E13" s="22" t="n">
        <x:v>725.2</x:v>
      </x:c>
      <x:c r="F13" s="22" t="n">
        <x:f t="shared" si="0"/>
        <x:v>175.30000000000007</x:v>
      </x:c>
      <x:c r="G13" s="23" t="n">
        <x:f t="shared" si="1"/>
        <x:v>0.3187852336788508</x:v>
      </x:c>
      <x:c r="H13" s="23" t="n">
        <x:v>0.868814141414142</x:v>
      </x:c>
      <x:c r="I13" s="23" t="n">
        <x:v>0.895647222222222</x:v>
      </x:c>
      <x:c r="J13" s="23" t="n">
        <x:f t="shared" si="2"/>
        <x:v>0.02683308080808</x:v>
      </x:c>
      <x:c r="K13" s="23" t="n">
        <x:v>0.990025</x:v>
      </x:c>
      <x:c r="L13" s="23" t="n">
        <x:v>0.977773333333333</x:v>
      </x:c>
      <x:c r="M13" s="23" t="n">
        <x:f t="shared" si="3"/>
        <x:v>-0.012251666666666994</x:v>
      </x:c>
      <x:c r="N13" s="23" t="n">
        <x:v>0.844702272727273</x:v>
      </x:c>
      <x:c r="O13" s="23" t="n">
        <x:v>0.926663333333333</x:v>
      </x:c>
      <x:c r="P13" s="23" t="n">
        <x:f t="shared" si="4"/>
        <x:v>0.0819610606060599</x:v>
      </x:c>
    </x:row>
    <x:row r="14">
      <x:c r="A14" s="20" t="str">
        <x:v>台北市</x:v>
      </x:c>
      <x:c r="B14" s="21" t="str">
        <x:v>中正區</x:v>
      </x:c>
      <x:c r="C14" s="19" t="n">
        <x:v>4</x:v>
      </x:c>
      <x:c r="D14" s="22" t="n">
        <x:v>1297.4</x:v>
      </x:c>
      <x:c r="E14" s="22" t="n">
        <x:v>1437</x:v>
      </x:c>
      <x:c r="F14" s="22" t="n">
        <x:f t="shared" si="0"/>
        <x:v>139.5999999999999</x:v>
      </x:c>
      <x:c r="G14" s="23" t="n">
        <x:f t="shared" si="1"/>
        <x:v>0.10759981501464459</x:v>
      </x:c>
      <x:c r="H14" s="23" t="n">
        <x:v>0.843781755050505</x:v>
      </x:c>
      <x:c r="I14" s="23" t="n">
        <x:v>0.923240555555556</x:v>
      </x:c>
      <x:c r="J14" s="23" t="n">
        <x:f t="shared" si="2"/>
        <x:v>0.07945880050505094</x:v>
      </x:c>
      <x:c r="K14" s="23" t="n">
        <x:v>0.810164015151515</x:v>
      </x:c>
      <x:c r="L14" s="23" t="n">
        <x:v>0.928055</x:v>
      </x:c>
      <x:c r="M14" s="23" t="n">
        <x:f t="shared" si="3"/>
        <x:v>0.11789098484848493</x:v>
      </x:c>
      <x:c r="N14" s="23" t="n">
        <x:v>0.857007954545455</x:v>
      </x:c>
      <x:c r="O14" s="23" t="n">
        <x:v>0.996386666666667</x:v>
      </x:c>
      <x:c r="P14" s="23" t="n">
        <x:f t="shared" si="4"/>
        <x:v>0.139378712121212</x:v>
      </x:c>
    </x:row>
    <x:row r="15">
      <x:c r="A15" s="20" t="str">
        <x:v>台北市</x:v>
      </x:c>
      <x:c r="B15" s="21" t="str">
        <x:v>士林區</x:v>
      </x:c>
      <x:c r="C15" s="19" t="n">
        <x:v>1</x:v>
      </x:c>
      <x:c r="D15" s="22" t="n">
        <x:v>476.7</x:v>
      </x:c>
      <x:c r="E15" s="22" t="n">
        <x:v>580.4</x:v>
      </x:c>
      <x:c r="F15" s="22" t="n">
        <x:f t="shared" si="0"/>
        <x:v>103.69999999999999</x:v>
      </x:c>
      <x:c r="G15" s="23" t="n">
        <x:f t="shared" si="1"/>
        <x:v>0.21753723515838053</x:v>
      </x:c>
      <x:c r="H15" s="23" t="n">
        <x:v>0.897516919191919</x:v>
      </x:c>
      <x:c r="I15" s="23" t="n">
        <x:v>0.960741111111111</x:v>
      </x:c>
      <x:c r="J15" s="23" t="n">
        <x:f t="shared" si="2"/>
        <x:v>0.06322419191919204</x:v>
      </x:c>
      <x:c r="K15" s="23" t="n">
        <x:v>1</x:v>
      </x:c>
      <x:c r="L15" s="23" t="n">
        <x:v>1</x:v>
      </x:c>
      <x:c r="M15" s="23" t="n">
        <x:f t="shared" si="3"/>
        <x:v>0</x:v>
      </x:c>
      <x:c r="N15" s="23" t="n">
        <x:v>0.921210606060606</x:v>
      </x:c>
      <x:c r="O15" s="23" t="n">
        <x:v>0.984446666666667</x:v>
      </x:c>
      <x:c r="P15" s="23" t="n">
        <x:f t="shared" si="4"/>
        <x:v>0.06323606060606102</x:v>
      </x:c>
    </x:row>
    <x:row r="16">
      <x:c r="A16" s="20" t="str">
        <x:v>台北市</x:v>
      </x:c>
      <x:c r="B16" s="21" t="str">
        <x:v>南港區</x:v>
      </x:c>
      <x:c r="C16" s="19" t="n">
        <x:v>1</x:v>
      </x:c>
      <x:c r="D16" s="22" t="n">
        <x:v>378.6</x:v>
      </x:c>
      <x:c r="E16" s="22" t="n">
        <x:v>471.4</x:v>
      </x:c>
      <x:c r="F16" s="22" t="n">
        <x:f t="shared" si="0"/>
        <x:v>92.79999999999995</x:v>
      </x:c>
      <x:c r="G16" s="23" t="n">
        <x:f t="shared" si="1"/>
        <x:v>0.24511357633386147</x:v>
      </x:c>
      <x:c r="H16" s="23" t="n">
        <x:v>0.896968686868687</x:v>
      </x:c>
      <x:c r="I16" s="23" t="n">
        <x:v>0.892223333333334</x:v>
      </x:c>
      <x:c r="J16" s="23" t="n">
        <x:f t="shared" si="2"/>
        <x:v>-0.004745353535352992</x:v>
      </x:c>
      <x:c r="K16" s="23" t="n">
        <x:v>0.750760606060606</x:v>
      </x:c>
      <x:c r="L16" s="23" t="n">
        <x:v>0.727773333333333</x:v>
      </x:c>
      <x:c r="M16" s="23" t="n">
        <x:f t="shared" si="3"/>
        <x:v>-0.022987272727272967</x:v>
      </x:c>
      <x:c r="N16" s="23" t="n">
        <x:v>0.99974696969697</x:v>
      </x:c>
      <x:c r="O16" s="23" t="n">
        <x:v>1</x:v>
      </x:c>
      <x:c r="P16" s="23" t="n">
        <x:f t="shared" si="4"/>
        <x:v>0.00025303030303003293</x:v>
      </x:c>
    </x:row>
    <x:row r="17">
      <x:c r="A17" s="5" t="s">
        <x:v>25</x:v>
      </x:c>
      <x:c r="B17" s="5"/>
      <x:c r="C17" s="31">
        <x:v>54</x:v>
      </x:c>
      <x:c r="D17" s="32">
        <x:v>17587.099999999999</x:v>
      </x:c>
      <x:c r="E17" s="32">
        <x:v>20229.599999999999</x:v>
      </x:c>
      <x:c r="F17" s="32">
        <x:f t="shared" si="0"/>
        <x:v>2642.5</x:v>
      </x:c>
      <x:c r="G17" s="33">
        <x:f t="shared" si="1"/>
        <x:v>0.15025217346805331</x:v>
      </x:c>
      <x:c r="H17" s="33">
        <x:v>0.86096848578376395</x:v>
      </x:c>
      <x:c r="I17" s="33">
        <x:v>0.90089119341563795</x:v>
      </x:c>
      <x:c r="J17" s="33">
        <x:f t="shared" si="2"/>
        <x:v>3.9922707631873999E-2</x:v>
      </x:c>
      <x:c r="K17" s="33">
        <x:v>0.89155928731762102</x:v>
      </x:c>
      <x:c r="L17" s="33">
        <x:v>0.92777765432098802</x:v>
      </x:c>
      <x:c r="M17" s="33">
        <x:f t="shared" si="3"/>
        <x:v>3.6218367003367002E-2</x:v>
      </x:c>
      <x:c r="N17" s="33">
        <x:v>0.88098139730639702</x:v>
      </x:c>
      <x:c r="O17" s="33">
        <x:v>0.91999864197530901</x:v>
      </x:c>
      <x:c r="P17" s="33">
        <x:f t="shared" si="4"/>
        <x:v>3.9017244668911988E-2</x:v>
      </x:c>
    </x:row>
    <x:row r="18">
      <x:c r="A18" s="20" t="str">
        <x:v>新北市</x:v>
      </x:c>
      <x:c r="B18" s="21" t="str">
        <x:v>板橋區</x:v>
      </x:c>
      <x:c r="C18" s="19" t="n">
        <x:v>71</x:v>
      </x:c>
      <x:c r="D18" s="22" t="n">
        <x:v>15028.8</x:v>
      </x:c>
      <x:c r="E18" s="22" t="n">
        <x:v>17355.4</x:v>
      </x:c>
      <x:c r="F18" s="22" t="n">
        <x:f t="shared" si="0"/>
        <x:v>2326.600000000002</x:v>
      </x:c>
      <x:c r="G18" s="23" t="n">
        <x:f t="shared" si="1"/>
        <x:v>0.154809432556159</x:v>
      </x:c>
      <x:c r="H18" s="23" t="n">
        <x:v>0.849951369327074</x:v>
      </x:c>
      <x:c r="I18" s="23" t="n">
        <x:v>0.849058247261346</x:v>
      </x:c>
      <x:c r="J18" s="23" t="n">
        <x:f t="shared" si="2"/>
        <x:v>-0.0008931220657280026</x:v>
      </x:c>
      <x:c r="K18" s="23" t="n">
        <x:v>0.862256380708493</x:v>
      </x:c>
      <x:c r="L18" s="23" t="n">
        <x:v>0.83892</x:v>
      </x:c>
      <x:c r="M18" s="23" t="n">
        <x:f t="shared" si="3"/>
        <x:v>-0.023336380708492976</x:v>
      </x:c>
      <x:c r="N18" s="23" t="n">
        <x:v>0.852030900554844</x:v>
      </x:c>
      <x:c r="O18" s="23" t="n">
        <x:v>0.889874084507042</x:v>
      </x:c>
      <x:c r="P18" s="23" t="n">
        <x:f t="shared" si="4"/>
        <x:v>0.03784318395219799</x:v>
      </x:c>
    </x:row>
    <x:row r="19">
      <x:c r="A19" s="20" t="str">
        <x:v>新北市</x:v>
      </x:c>
      <x:c r="B19" s="21" t="str">
        <x:v>新莊區</x:v>
      </x:c>
      <x:c r="C19" s="19" t="n">
        <x:v>14</x:v>
      </x:c>
      <x:c r="D19" s="22" t="n">
        <x:v>3155.6</x:v>
      </x:c>
      <x:c r="E19" s="22" t="n">
        <x:v>3921.4</x:v>
      </x:c>
      <x:c r="F19" s="22" t="n">
        <x:f t="shared" si="0"/>
        <x:v>765.8000000000002</x:v>
      </x:c>
      <x:c r="G19" s="23" t="n">
        <x:f t="shared" si="1"/>
        <x:v>0.2426796805678794</x:v>
      </x:c>
      <x:c r="H19" s="23" t="n">
        <x:v>0.869597916666667</x:v>
      </x:c>
      <x:c r="I19" s="23" t="n">
        <x:v>0.91748</x:v>
      </x:c>
      <x:c r="J19" s="23" t="n">
        <x:f t="shared" si="2"/>
        <x:v>0.04788208333333299</x:v>
      </x:c>
      <x:c r="K19" s="23" t="n">
        <x:v>0.815765151515152</x:v>
      </x:c>
      <x:c r="L19" s="23" t="n">
        <x:v>0.910276904761905</x:v>
      </x:c>
      <x:c r="M19" s="23" t="n">
        <x:f t="shared" si="3"/>
        <x:v>0.09451175324675298</x:v>
      </x:c>
      <x:c r="N19" s="23" t="n">
        <x:v>0.897168777056277</x:v>
      </x:c>
      <x:c r="O19" s="23" t="n">
        <x:v>0.936864047619048</x:v>
      </x:c>
      <x:c r="P19" s="23" t="n">
        <x:f t="shared" si="4"/>
        <x:v>0.039695270562771</x:v>
      </x:c>
    </x:row>
    <x:row r="20">
      <x:c r="A20" s="20" t="str">
        <x:v>新北市</x:v>
      </x:c>
      <x:c r="B20" s="21" t="str">
        <x:v>新店區</x:v>
      </x:c>
      <x:c r="C20" s="19" t="n">
        <x:v>8</x:v>
      </x:c>
      <x:c r="D20" s="22" t="n">
        <x:v>2438</x:v>
      </x:c>
      <x:c r="E20" s="22" t="n">
        <x:v>2930.6</x:v>
      </x:c>
      <x:c r="F20" s="22" t="n">
        <x:f t="shared" si="0"/>
        <x:v>492.5999999999999</x:v>
      </x:c>
      <x:c r="G20" s="23" t="n">
        <x:f t="shared" si="1"/>
        <x:v>0.20205086136177192</x:v>
      </x:c>
      <x:c r="H20" s="23" t="n">
        <x:v>0.848484627525253</x:v>
      </x:c>
      <x:c r="I20" s="23" t="n">
        <x:v>0.874930833333333</x:v>
      </x:c>
      <x:c r="J20" s="23" t="n">
        <x:f t="shared" si="2"/>
        <x:v>0.026446205808079992</x:v>
      </x:c>
      <x:c r="K20" s="23" t="n">
        <x:v>0.955618181818182</x:v>
      </x:c>
      <x:c r="L20" s="23" t="n">
        <x:v>0.966389166666667</x:v>
      </x:c>
      <x:c r="M20" s="23" t="n">
        <x:f t="shared" si="3"/>
        <x:v>0.010770984848484932</x:v>
      </x:c>
      <x:c r="N20" s="23" t="n">
        <x:v>0.79318125</x:v>
      </x:c>
      <x:c r="O20" s="23" t="n">
        <x:v>0.873334166666667</x:v>
      </x:c>
      <x:c r="P20" s="23" t="n">
        <x:f t="shared" si="4"/>
        <x:v>0.08015291666666702</x:v>
      </x:c>
    </x:row>
    <x:row r="21">
      <x:c r="A21" s="20" t="str">
        <x:v>新北市</x:v>
      </x:c>
      <x:c r="B21" s="21" t="str">
        <x:v>永和區</x:v>
      </x:c>
      <x:c r="C21" s="19" t="n">
        <x:v>13</x:v>
      </x:c>
      <x:c r="D21" s="22" t="n">
        <x:v>2759.2</x:v>
      </x:c>
      <x:c r="E21" s="22" t="n">
        <x:v>3228.6</x:v>
      </x:c>
      <x:c r="F21" s="22" t="n">
        <x:f t="shared" si="0"/>
        <x:v>469.4000000000001</x:v>
      </x:c>
      <x:c r="G21" s="23" t="n">
        <x:f t="shared" si="1"/>
        <x:v>0.1701217744273703</x:v>
      </x:c>
      <x:c r="H21" s="23" t="n">
        <x:v>0.834267892385392</x:v>
      </x:c>
      <x:c r="I21" s="23" t="n">
        <x:v>0.845825299145299</x:v>
      </x:c>
      <x:c r="J21" s="23" t="n">
        <x:f t="shared" si="2"/>
        <x:v>0.011557406759907018</x:v>
      </x:c>
      <x:c r="K21" s="23" t="n">
        <x:v>0.869382086247086</x:v>
      </x:c>
      <x:c r="L21" s="23" t="n">
        <x:v>0.859143076923077</x:v>
      </x:c>
      <x:c r="M21" s="23" t="n">
        <x:f t="shared" si="3"/>
        <x:v>-0.010239009324009007</x:v>
      </x:c>
      <x:c r="N21" s="23" t="n">
        <x:v>0.805019382284382</x:v>
      </x:c>
      <x:c r="O21" s="23" t="n">
        <x:v>0.835554871794872</x:v>
      </x:c>
      <x:c r="P21" s="23" t="n">
        <x:f t="shared" si="4"/>
        <x:v>0.03053548951049001</x:v>
      </x:c>
    </x:row>
    <x:row r="22">
      <x:c r="A22" s="20" t="str">
        <x:v>新北市</x:v>
      </x:c>
      <x:c r="B22" s="21" t="str">
        <x:v>林口區</x:v>
      </x:c>
      <x:c r="C22" s="19" t="n">
        <x:v>5</x:v>
      </x:c>
      <x:c r="D22" s="22" t="n">
        <x:v>829.3</x:v>
      </x:c>
      <x:c r="E22" s="22" t="n">
        <x:v>1110.6</x:v>
      </x:c>
      <x:c r="F22" s="22" t="n">
        <x:f t="shared" si="0"/>
        <x:v>281.29999999999995</x:v>
      </x:c>
      <x:c r="G22" s="23" t="n">
        <x:f t="shared" si="1"/>
        <x:v>0.33920173640419626</x:v>
      </x:c>
      <x:c r="H22" s="23" t="n">
        <x:v>0.866607676767677</x:v>
      </x:c>
      <x:c r="I22" s="23" t="n">
        <x:v>0.962148666666667</x:v>
      </x:c>
      <x:c r="J22" s="23" t="n">
        <x:f t="shared" si="2"/>
        <x:v>0.09554098989898996</x:v>
      </x:c>
      <x:c r="K22" s="23" t="n">
        <x:v>0.832272121212121</x:v>
      </x:c>
      <x:c r="L22" s="23" t="n">
        <x:v>0.962888</x:v>
      </x:c>
      <x:c r="M22" s="23" t="n">
        <x:f t="shared" si="3"/>
        <x:v>0.13061587878787895</x:v>
      </x:c>
      <x:c r="N22" s="23" t="n">
        <x:v>0.84161393939394</x:v>
      </x:c>
      <x:c r="O22" s="23" t="n">
        <x:v>0.964</x:v>
      </x:c>
      <x:c r="P22" s="23" t="n">
        <x:f t="shared" si="4"/>
        <x:v>0.12238606060605994</x:v>
      </x:c>
    </x:row>
    <x:row r="23">
      <x:c r="A23" s="20" t="str">
        <x:v>新北市</x:v>
      </x:c>
      <x:c r="B23" s="21" t="str">
        <x:v>三重區</x:v>
      </x:c>
      <x:c r="C23" s="19" t="n">
        <x:v>9</x:v>
      </x:c>
      <x:c r="D23" s="22" t="n">
        <x:v>1955.9</x:v>
      </x:c>
      <x:c r="E23" s="22" t="n">
        <x:v>2221.6</x:v>
      </x:c>
      <x:c r="F23" s="22" t="n">
        <x:f t="shared" si="0"/>
        <x:v>265.6999999999998</x:v>
      </x:c>
      <x:c r="G23" s="23" t="n">
        <x:f t="shared" si="1"/>
        <x:v>0.13584539086865371</x:v>
      </x:c>
      <x:c r="H23" s="23" t="n">
        <x:v>0.860448126691754</x:v>
      </x:c>
      <x:c r="I23" s="23" t="n">
        <x:v>0.867592839506173</x:v>
      </x:c>
      <x:c r="J23" s="23" t="n">
        <x:f t="shared" si="2"/>
        <x:v>0.007144712814419085</x:v>
      </x:c>
      <x:c r="K23" s="23" t="n">
        <x:v>0.801850346603288</x:v>
      </x:c>
      <x:c r="L23" s="23" t="n">
        <x:v>0.793828888888889</x:v>
      </x:c>
      <x:c r="M23" s="23" t="n">
        <x:f t="shared" si="3"/>
        <x:v>-0.008021457714398994</x:v>
      </x:c>
      <x:c r="N23" s="23" t="n">
        <x:v>0.88375908100614</x:v>
      </x:c>
      <x:c r="O23" s="23" t="n">
        <x:v>0.91543037037037</x:v>
      </x:c>
      <x:c r="P23" s="23" t="n">
        <x:f t="shared" si="4"/>
        <x:v>0.031671289364230026</x:v>
      </x:c>
    </x:row>
    <x:row r="24">
      <x:c r="A24" s="20" t="str">
        <x:v>新北市</x:v>
      </x:c>
      <x:c r="B24" s="21" t="str">
        <x:v>土城區</x:v>
      </x:c>
      <x:c r="C24" s="19" t="n">
        <x:v>8</x:v>
      </x:c>
      <x:c r="D24" s="22" t="n">
        <x:v>1654.5</x:v>
      </x:c>
      <x:c r="E24" s="22" t="n">
        <x:v>1794</x:v>
      </x:c>
      <x:c r="F24" s="22" t="n">
        <x:f t="shared" si="0"/>
        <x:v>139.5</x:v>
      </x:c>
      <x:c r="G24" s="23" t="n">
        <x:f t="shared" si="1"/>
        <x:v>0.0843155031731641</x:v>
      </x:c>
      <x:c r="H24" s="23" t="n">
        <x:v>0.854940119949495</x:v>
      </x:c>
      <x:c r="I24" s="23" t="n">
        <x:v>0.806388055555556</x:v>
      </x:c>
      <x:c r="J24" s="23" t="n">
        <x:f t="shared" si="2"/>
        <x:v>-0.048552064393939</x:v>
      </x:c>
      <x:c r="K24" s="23" t="n">
        <x:v>0.834785984848485</x:v>
      </x:c>
      <x:c r="L24" s="23" t="n">
        <x:v>0.753749166666667</x:v>
      </x:c>
      <x:c r="M24" s="23" t="n">
        <x:f t="shared" si="3"/>
        <x:v>-0.08103681818181796</x:v>
      </x:c>
      <x:c r="N24" s="23" t="n">
        <x:v>0.928409090909091</x:v>
      </x:c>
      <x:c r="O24" s="23" t="n">
        <x:v>0.8969425</x:v>
      </x:c>
      <x:c r="P24" s="23" t="n">
        <x:f t="shared" si="4"/>
        <x:v>-0.031466590909090986</x:v>
      </x:c>
    </x:row>
    <x:row r="25">
      <x:c r="A25" s="20" t="str">
        <x:v>新北市</x:v>
      </x:c>
      <x:c r="B25" s="21" t="str">
        <x:v>蘆洲區</x:v>
      </x:c>
      <x:c r="C25" s="19" t="n">
        <x:v>1</x:v>
      </x:c>
      <x:c r="D25" s="22" t="n">
        <x:v>537.3</x:v>
      </x:c>
      <x:c r="E25" s="22" t="n">
        <x:v>592</x:v>
      </x:c>
      <x:c r="F25" s="22" t="n">
        <x:f t="shared" si="0"/>
        <x:v>54.700000000000045</x:v>
      </x:c>
      <x:c r="G25" s="23" t="n">
        <x:f t="shared" si="1"/>
        <x:v>0.10180532291085065</x:v>
      </x:c>
      <x:c r="H25" s="23" t="n">
        <x:v>0.866077272727273</x:v>
      </x:c>
      <x:c r="I25" s="23" t="n">
        <x:v>0.852588888888889</x:v>
      </x:c>
      <x:c r="J25" s="23" t="n">
        <x:f t="shared" si="2"/>
        <x:v>-0.013488383838384022</x:v>
      </x:c>
      <x:c r="K25" s="23" t="n">
        <x:v>0.969693939393939</x:v>
      </x:c>
      <x:c r="L25" s="23" t="n">
        <x:v>0.983326666666667</x:v>
      </x:c>
      <x:c r="M25" s="23" t="n">
        <x:f t="shared" si="3"/>
        <x:v>0.013632727272728018</x:v>
      </x:c>
      <x:c r="N25" s="23" t="n">
        <x:v>0.778536363636364</x:v>
      </x:c>
      <x:c r="O25" s="23" t="n">
        <x:v>0.887773333333333</x:v>
      </x:c>
      <x:c r="P25" s="23" t="n">
        <x:f t="shared" si="4"/>
        <x:v>0.10923696969696894</x:v>
      </x:c>
    </x:row>
    <x:row r="26">
      <x:c r="A26" s="20" t="str">
        <x:v>新北市</x:v>
      </x:c>
      <x:c r="B26" s="21" t="str">
        <x:v>三峽區</x:v>
      </x:c>
      <x:c r="C26" s="19" t="n">
        <x:v>1</x:v>
      </x:c>
      <x:c r="D26" s="22" t="n">
        <x:v>182.7</x:v>
      </x:c>
      <x:c r="E26" s="22" t="n">
        <x:v>217.6</x:v>
      </x:c>
      <x:c r="F26" s="22" t="n">
        <x:f t="shared" si="0"/>
        <x:v>34.900000000000006</x:v>
      </x:c>
      <x:c r="G26" s="23" t="n">
        <x:f t="shared" si="1"/>
        <x:v>0.1910235358511221</x:v>
      </x:c>
      <x:c r="H26" s="23" t="n">
        <x:v>0.885647474747475</x:v>
      </x:c>
      <x:c r="I26" s="23" t="n">
        <x:v>0.942777777777778</x:v>
      </x:c>
      <x:c r="J26" s="23" t="n">
        <x:f t="shared" si="2"/>
        <x:v>0.05713030303030309</x:v>
      </x:c>
      <x:c r="K26" s="23" t="n">
        <x:v>0.87020303030303</x:v>
      </x:c>
      <x:c r="L26" s="23" t="n">
        <x:v>1</x:v>
      </x:c>
      <x:c r="M26" s="23" t="n">
        <x:f t="shared" si="3"/>
        <x:v>0.12979696969696997</x:v>
      </x:c>
      <x:c r="N26" s="23" t="n">
        <x:v>0.926515151515152</x:v>
      </x:c>
      <x:c r="O26" s="23" t="n">
        <x:v>0.98334</x:v>
      </x:c>
      <x:c r="P26" s="23" t="n">
        <x:f t="shared" si="4"/>
        <x:v>0.056824848484848034</x:v>
      </x:c>
    </x:row>
    <x:row r="27">
      <x:c r="A27" s="20" t="str">
        <x:v>新北市</x:v>
      </x:c>
      <x:c r="B27" s="21" t="str">
        <x:v>中和區</x:v>
      </x:c>
      <x:c r="C27" s="19" t="n">
        <x:v>3</x:v>
      </x:c>
      <x:c r="D27" s="22" t="n">
        <x:v>513.4</x:v>
      </x:c>
      <x:c r="E27" s="22" t="n">
        <x:v>517.4</x:v>
      </x:c>
      <x:c r="F27" s="22" t="n">
        <x:f t="shared" si="0"/>
        <x:v>4</x:v>
      </x:c>
      <x:c r="G27" s="23" t="n">
        <x:f t="shared" si="1"/>
        <x:v>0.0077911959485781074</x:v>
      </x:c>
      <x:c r="H27" s="23" t="n">
        <x:v>0.890151767676768</x:v>
      </x:c>
      <x:c r="I27" s="23" t="n">
        <x:v>0.836482962962963</x:v>
      </x:c>
      <x:c r="J27" s="23" t="n">
        <x:f t="shared" si="2"/>
        <x:v>-0.053668804713804974</x:v>
      </x:c>
      <x:c r="K27" s="23" t="n">
        <x:v>0.829712626262626</x:v>
      </x:c>
      <x:c r="L27" s="23" t="n">
        <x:v>0.630368888888889</x:v>
      </x:c>
      <x:c r="M27" s="23" t="n">
        <x:f t="shared" si="3"/>
        <x:v>-0.199343737373737</x:v>
      </x:c>
      <x:c r="N27" s="23" t="n">
        <x:v>0.975421717171717</x:v>
      </x:c>
      <x:c r="O27" s="23" t="n">
        <x:v>0.966297777777778</x:v>
      </x:c>
      <x:c r="P27" s="23" t="n">
        <x:f t="shared" si="4"/>
        <x:v>-0.009123939393938962</x:v>
      </x:c>
    </x:row>
    <x:row r="28">
      <x:c r="A28" s="20" t="str">
        <x:v>新北市</x:v>
      </x:c>
      <x:c r="B28" s="21" t="str">
        <x:v>淡水區</x:v>
      </x:c>
      <x:c r="C28" s="19" t="n">
        <x:v>3</x:v>
      </x:c>
      <x:c r="D28" s="22" t="n">
        <x:v>326.8</x:v>
      </x:c>
      <x:c r="E28" s="22" t="n">
        <x:v>315.2</x:v>
      </x:c>
      <x:c r="F28" s="22" t="n">
        <x:f t="shared" si="0"/>
        <x:v>-11.600000000000023</x:v>
      </x:c>
      <x:c r="G28" s="23" t="n">
        <x:f t="shared" si="1"/>
        <x:v>-0.0354957160342718</x:v>
      </x:c>
      <x:c r="H28" s="23" t="n">
        <x:v>0.870523821548821</x:v>
      </x:c>
      <x:c r="I28" s="23" t="n">
        <x:v>0.900925925925926</x:v>
      </x:c>
      <x:c r="J28" s="23" t="n">
        <x:f t="shared" si="2"/>
        <x:v>0.030402104377105</x:v>
      </x:c>
      <x:c r="K28" s="23" t="n">
        <x:v>0.910268181818182</x:v>
      </x:c>
      <x:c r="L28" s="23" t="n">
        <x:v>0.904446666666667</x:v>
      </x:c>
      <x:c r="M28" s="23" t="n">
        <x:f t="shared" si="3"/>
        <x:v>-0.005821515151515078</x:v>
      </x:c>
      <x:c r="N28" s="23" t="n">
        <x:v>0.714055050505051</x:v>
      </x:c>
      <x:c r="O28" s="23" t="n">
        <x:v>0.893702222222222</x:v>
      </x:c>
      <x:c r="P28" s="23" t="n">
        <x:f t="shared" si="4"/>
        <x:v>0.17964717171717093</x:v>
      </x:c>
    </x:row>
    <x:row r="29">
      <x:c r="A29" s="20" t="str">
        <x:v>新北市</x:v>
      </x:c>
      <x:c r="B29" s="21" t="str">
        <x:v>鶯歌區</x:v>
      </x:c>
      <x:c r="C29" s="19" t="n">
        <x:v>1</x:v>
      </x:c>
      <x:c r="D29" s="22" t="n">
        <x:v>278.9</x:v>
      </x:c>
      <x:c r="E29" s="22"/>
      <x:c r="F29" s="22">
        <x:f t="shared" si="0"/>
      </x:c>
      <x:c r="G29" s="23">
        <x:f t="shared" si="1"/>
      </x:c>
      <x:c r="H29" s="23" t="n">
        <x:v>0.890194191919192</x:v>
      </x:c>
      <x:c r="I29" s="23"/>
      <x:c r="J29" s="23">
        <x:f t="shared" si="2"/>
      </x:c>
      <x:c r="K29" s="23" t="n">
        <x:v>1</x:v>
      </x:c>
      <x:c r="L29" s="23"/>
      <x:c r="M29" s="23">
        <x:f t="shared" si="3"/>
      </x:c>
      <x:c r="N29" s="23" t="n">
        <x:v>0.920960606060606</x:v>
      </x:c>
      <x:c r="O29" s="23"/>
      <x:c r="P29" s="23">
        <x:f t="shared" si="4"/>
      </x:c>
    </x:row>
    <x:row r="30">
      <x:c r="A30" s="5" t="s">
        <x:v>26</x:v>
      </x:c>
      <x:c r="B30" s="5"/>
      <x:c r="C30" s="31">
        <x:v>137</x:v>
      </x:c>
      <x:c r="D30" s="32">
        <x:v>29660.400000000001</x:v>
      </x:c>
      <x:c r="E30" s="32">
        <x:v>34204.400000000001</x:v>
      </x:c>
      <x:c r="F30" s="32">
        <x:f t="shared" si="0"/>
        <x:v>4544</x:v>
      </x:c>
      <x:c r="G30" s="33">
        <x:f t="shared" si="1"/>
        <x:v>0.15320090086445226</x:v>
      </x:c>
      <x:c r="H30" s="33">
        <x:v>0.85397675815692398</x:v>
      </x:c>
      <x:c r="I30" s="33">
        <x:v>0.86177064542483695</x:v>
      </x:c>
      <x:c r="J30" s="33">
        <x:f t="shared" si="2"/>
        <x:v>7.7938872679129689E-3</x:v>
      </x:c>
      <x:c r="K30" s="33">
        <x:v>0.85915305639043904</x:v>
      </x:c>
      <x:c r="L30" s="33">
        <x:v>0.85135174019607895</x:v>
      </x:c>
      <x:c r="M30" s="33">
        <x:f t="shared" si="3"/>
        <x:v>-7.8013161943600862E-3</x:v>
      </x:c>
      <x:c r="N30" s="33">
        <x:v>0.85510128003955399</x:v>
      </x:c>
      <x:c r="O30" s="33">
        <x:v>0.89582036764705897</x:v>
      </x:c>
      <x:c r="P30" s="33">
        <x:f t="shared" si="4"/>
        <x:v>4.0719087607504978E-2</x:v>
      </x:c>
    </x:row>
    <x:row r="31">
      <x:c r="A31" s="6" t="s">
        <x:v>27</x:v>
      </x:c>
      <x:c r="B31" s="6"/>
      <x:c r="C31" s="34">
        <x:v>191</x:v>
      </x:c>
      <x:c r="D31" s="29">
        <x:v>47247.6</x:v>
      </x:c>
      <x:c r="E31" s="29">
        <x:v>54434</x:v>
      </x:c>
      <x:c r="F31" s="29">
        <x:f t="shared" si="0"/>
        <x:v>7186.4000000000015</x:v>
      </x:c>
      <x:c r="G31" s="30">
        <x:f t="shared" si="1"/>
        <x:v>0.15210084745045255</x:v>
      </x:c>
      <x:c r="H31" s="30">
        <x:v>0.85595347696241797</x:v>
      </x:c>
      <x:c r="I31" s="30">
        <x:v>0.87288911695906402</x:v>
      </x:c>
      <x:c r="J31" s="30">
        <x:f t="shared" si="2"/>
        <x:v>1.6935639996646046E-2</x:v>
      </x:c>
      <x:c r="K31" s="30">
        <x:v>0.868315027437915</x:v>
      </x:c>
      <x:c r="L31" s="30">
        <x:v>0.87307278947368405</x:v>
      </x:c>
      <x:c r="M31" s="30">
        <x:f t="shared" si="3"/>
        <x:v>4.7577620357690531E-3</x:v>
      </x:c>
      <x:c r="N31" s="30">
        <x:v>0.86241817183227398</x:v>
      </x:c>
      <x:c r="O31" s="30">
        <x:v>0.90269208771929799</x:v>
      </x:c>
      <x:c r="P31" s="30">
        <x:f t="shared" si="4"/>
        <x:v>4.0273915887024003E-2</x:v>
      </x:c>
    </x:row>
  </x:sheetData>
  <x:mergeCells>
    <x:mergeCell ref="A17:B17"/>
    <x:mergeCell ref="A30:B30"/>
    <x:mergeCell ref="A31:B31"/>
    <x:mergeCell ref="A1:P1"/>
    <x:mergeCell ref="A2:P2"/>
    <x:mergeCell ref="A3:P3"/>
    <x:mergeCell ref="A4:P4"/>
    <x:mergeCell ref="A5:A6"/>
    <x:mergeCell ref="B5:B6"/>
    <x:mergeCell ref="C5:C6"/>
    <x:mergeCell ref="D5:G5"/>
    <x:mergeCell ref="H5:J5"/>
    <x:mergeCell ref="K5:M5"/>
    <x:mergeCell ref="N5:P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.5"/>
  <x:cols>
    <x:col min="2" max="2" width="10.90625" customWidth="1"/>
    <x:col min="3" max="3" width="20.54296875" customWidth="1"/>
  </x:cols>
  <x:sheetData>
    <x:row r="1" ht="43.5" customHeight="1">
      <x:c r="A1" s="35" t="s">
        <x:v>8</x:v>
      </x:c>
      <x:c r="B1" s="36" t="s">
        <x:v>28</x:v>
      </x:c>
      <x:c r="C1" s="37" t="s">
        <x:v>29</x:v>
      </x:c>
    </x:row>
    <x:row r="3">
      <x:c r="A3" s="35" t="s">
        <x:v>30</x:v>
      </x:c>
      <x:c r="B3" s="38">
        <x:v>2907</x:v>
      </x:c>
      <x:c r="C3" s="38">
        <x:v>3705</x:v>
      </x:c>
    </x:row>
    <x:row r="4">
      <x:c r="A4" s="35" t="s">
        <x:v>31</x:v>
      </x:c>
      <x:c r="B4" s="38">
        <x:v>2329</x:v>
      </x:c>
      <x:c r="C4" s="38">
        <x:v>2642</x:v>
      </x:c>
    </x:row>
    <x:row r="5">
      <x:c r="A5" s="35" t="s">
        <x:v>32</x:v>
      </x:c>
      <x:c r="B5" s="38">
        <x:v>2622</x:v>
      </x:c>
      <x:c r="C5" s="38">
        <x:v>2951</x:v>
      </x:c>
    </x:row>
    <x:row r="6">
      <x:c r="A6" s="35" t="s">
        <x:v>33</x:v>
      </x:c>
      <x:c r="B6" s="38">
        <x:v>1588</x:v>
      </x:c>
      <x:c r="C6" s="38">
        <x:v>1810</x:v>
      </x:c>
    </x:row>
    <x:row r="7">
      <x:c r="A7" s="35" t="s">
        <x:v>34</x:v>
      </x:c>
      <x:c r="B7" s="38">
        <x:v>1593</x:v>
      </x:c>
      <x:c r="C7" s="38">
        <x:v>2301</x:v>
      </x:c>
    </x:row>
    <x:row r="8">
      <x:c r="A8" s="35" t="s">
        <x:v>35</x:v>
      </x:c>
      <x:c r="B8" s="38">
        <x:v>2123</x:v>
      </x:c>
      <x:c r="C8" s="38">
        <x:v>2156</x:v>
      </x:c>
    </x:row>
    <x:row r="9">
      <x:c r="A9" s="35" t="s">
        <x:v>36</x:v>
      </x:c>
      <x:c r="B9" s="38">
        <x:v>1572</x:v>
      </x:c>
      <x:c r="C9" s="38">
        <x:v>1180</x:v>
      </x:c>
    </x:row>
    <x:row r="10">
      <x:c r="A10" s="35" t="s">
        <x:v>37</x:v>
      </x:c>
      <x:c r="B10" s="38">
        <x:v>2042</x:v>
      </x:c>
      <x:c r="C10" s="38">
        <x:v>1532</x:v>
      </x:c>
    </x:row>
    <x:row r="11">
      <x:c r="A11" s="35" t="s">
        <x:v>38</x:v>
      </x:c>
      <x:c r="B11" s="38">
        <x:v>1224</x:v>
      </x:c>
      <x:c r="C11" s="38">
        <x:v>1231</x:v>
      </x:c>
    </x:row>
    <x:row r="12">
      <x:c r="A12" s="35" t="s">
        <x:v>39</x:v>
      </x:c>
      <x:c r="B12" s="38">
        <x:v>1977</x:v>
      </x:c>
      <x:c r="C12" s="38">
        <x:v>1457</x:v>
      </x:c>
    </x:row>
    <x:row r="13">
      <x:c r="A13" s="35" t="s">
        <x:v>40</x:v>
      </x:c>
      <x:c r="B13" s="38">
        <x:v>1351</x:v>
      </x:c>
      <x:c r="C13" s="38">
        <x:v>1481</x:v>
      </x:c>
    </x:row>
    <x:row r="14">
      <x:c r="A14" s="35" t="s">
        <x:v>41</x:v>
      </x:c>
      <x:c r="B14" s="38">
        <x:v>1758</x:v>
      </x:c>
      <x:c r="C14" s="38">
        <x:v>1190</x:v>
      </x:c>
    </x:row>
    <x:row r="15">
      <x:c r="A15" s="35" t="s">
        <x:v>42</x:v>
      </x:c>
      <x:c r="B15" s="38">
        <x:v>1522</x:v>
      </x:c>
      <x:c r="C15" s="38">
        <x:v>1201</x:v>
      </x:c>
    </x:row>
    <x:row r="16">
      <x:c r="A16" s="35" t="s">
        <x:v>43</x:v>
      </x:c>
      <x:c r="B16" s="38">
        <x:v>3273</x:v>
      </x:c>
      <x:c r="C16" s="38">
        <x:v>4801</x:v>
      </x:c>
    </x:row>
    <x:row r="17">
      <x:c r="A17" s="35" t="s">
        <x:v>44</x:v>
      </x:c>
      <x:c r="B17" s="38">
        <x:v>2091</x:v>
      </x:c>
      <x:c r="C17" s="38">
        <x:v>2101</x:v>
      </x:c>
    </x:row>
    <x:row r="18">
      <x:c r="A18" s="35" t="s">
        <x:v>45</x:v>
      </x:c>
      <x:c r="B18" s="38">
        <x:v>1984</x:v>
      </x:c>
      <x:c r="C18" s="38">
        <x:v>2045</x:v>
      </x:c>
    </x:row>
    <x:row r="19">
      <x:c r="A19" s="35" t="s">
        <x:v>46</x:v>
      </x:c>
      <x:c r="B19" s="38">
        <x:v>2027</x:v>
      </x:c>
      <x:c r="C19" s="38">
        <x:v>1994</x:v>
      </x:c>
    </x:row>
    <x:row r="20">
      <x:c r="A20" s="35" t="s">
        <x:v>47</x:v>
      </x:c>
      <x:c r="B20" s="38">
        <x:v>1578</x:v>
      </x:c>
      <x:c r="C20" s="38">
        <x:v>1902</x:v>
      </x:c>
    </x:row>
    <x:row r="21">
      <x:c r="A21" s="35" t="s">
        <x:v>48</x:v>
      </x:c>
      <x:c r="B21" s="38">
        <x:v>1725</x:v>
      </x:c>
      <x:c r="C21" s="38">
        <x:v>1654</x:v>
      </x:c>
    </x:row>
    <x:row r="22">
      <x:c r="A22" s="35" t="s">
        <x:v>49</x:v>
      </x:c>
      <x:c r="B22">
        <x:v>918</x:v>
      </x:c>
      <x:c r="C22">
        <x:v>912</x:v>
      </x:c>
    </x:row>
    <x:row r="23">
      <x:c r="A23" s="35" t="s">
        <x:v>50</x:v>
      </x:c>
      <x:c r="B23" s="38">
        <x:v>1154</x:v>
      </x:c>
      <x:c r="C23">
        <x:v>988</x:v>
      </x:c>
    </x:row>
    <x:row r="24">
      <x:c r="A24" s="35" t="s">
        <x:v>51</x:v>
      </x:c>
      <x:c r="B24" s="38">
        <x:v>1061</x:v>
      </x:c>
      <x:c r="C24">
        <x:v>645</x:v>
      </x:c>
    </x:row>
    <x:row r="25">
      <x:c r="A25" s="35" t="s">
        <x:v>52</x:v>
      </x:c>
      <x:c r="B25" s="38">
        <x:v>1255</x:v>
      </x:c>
      <x:c r="C25" s="38">
        <x:v>1193</x:v>
      </x:c>
    </x:row>
    <x:row r="26">
      <x:c r="A26" s="35" t="s">
        <x:v>53</x:v>
      </x:c>
      <x:c r="B26">
        <x:v>824</x:v>
      </x:c>
      <x:c r="C26">
        <x:v>852</x:v>
      </x:c>
    </x:row>
    <x:row r="27">
      <x:c r="A27" s="35" t="s">
        <x:v>54</x:v>
      </x:c>
      <x:c r="B27" s="38">
        <x:v>1056</x:v>
      </x:c>
      <x:c r="C27">
        <x:v>778</x:v>
      </x:c>
    </x:row>
    <x:row r="28">
      <x:c r="A28" s="35" t="s">
        <x:v>55</x:v>
      </x:c>
      <x:c r="B28">
        <x:v>828</x:v>
      </x:c>
      <x:c r="C28">
        <x:v>672</x:v>
      </x:c>
    </x:row>
    <x:row r="29">
      <x:c r="A29" s="35" t="s">
        <x:v>56</x:v>
      </x:c>
      <x:c r="B29">
        <x:v>735</x:v>
      </x:c>
      <x:c r="C29">
        <x:v>614</x:v>
      </x:c>
    </x:row>
    <x:row r="30">
      <x:c r="A30" s="35" t="s">
        <x:v>57</x:v>
      </x:c>
      <x:c r="B30">
        <x:v>337</x:v>
      </x:c>
      <x:c r="C30">
        <x:v>213</x:v>
      </x:c>
    </x:row>
    <x:row r="31">
      <x:c r="A31" s="35" t="s">
        <x:v>58</x:v>
      </x:c>
      <x:c r="B31">
        <x:v>282</x:v>
      </x:c>
      <x:c r="C31">
        <x:v>241</x:v>
      </x:c>
    </x:row>
    <x:row r="32">
      <x:c r="A32" s="35" t="s">
        <x:v>59</x:v>
      </x:c>
      <x:c r="B32">
        <x:v>200</x:v>
      </x:c>
      <x:c r="C32">
        <x:v>198</x:v>
      </x:c>
    </x:row>
    <x:row r="33">
      <x:c r="A33" s="35" t="s">
        <x:v>60</x:v>
      </x:c>
      <x:c r="B33">
        <x:v>306</x:v>
      </x:c>
      <x:c r="C33">
        <x:v>191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328125" defaultRowHeight="14.5"/>
  <x:cols>
    <x:col min="1" max="1" width="8" customWidth="1"/>
    <x:col min="2" max="2" width="13" customWidth="1"/>
    <x:col min="3" max="4" width="9" customWidth="1"/>
    <x:col min="5" max="5" width="8" customWidth="1"/>
    <x:col min="6" max="6" width="9" customWidth="1"/>
    <x:col min="7" max="8" width="10" customWidth="1"/>
    <x:col min="9" max="10" width="9" customWidth="1"/>
  </x:cols>
  <x:sheetData>
    <x:row r="1" ht="25.5" customHeight="1">
      <x:c r="A1" s="4" t="s">
        <x:v>61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15" customHeight="1">
      <x:c r="A2" s="3" t="s">
        <x:v>62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15" customHeight="1">
      <x:c r="A3" s="2" t="s">
        <x:v>63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15" customHeight="1">
      <x:c r="A4" s="3" t="s">
        <x:v>64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ht="18" customHeight="1">
      <x:c r="A5" s="1" t="s">
        <x:v>7</x:v>
      </x:c>
      <x:c r="B5" s="1" t="s">
        <x:v>65</x:v>
      </x:c>
      <x:c r="C5" s="69" t="s">
        <x:v>66</x:v>
      </x:c>
      <x:c r="D5" s="69"/>
      <x:c r="E5" s="69"/>
      <x:c r="F5" s="69"/>
      <x:c r="G5" s="70" t="s">
        <x:v>67</x:v>
      </x:c>
      <x:c r="H5" s="70"/>
      <x:c r="I5" s="70"/>
      <x:c r="J5" s="70"/>
    </x:row>
    <x:row r="6" ht="15" customHeight="1">
      <x:c r="A6" s="1"/>
      <x:c r="B6" s="1"/>
      <x:c r="C6" s="39" t="s">
        <x:v>14</x:v>
      </x:c>
      <x:c r="D6" s="40" t="s">
        <x:v>68</x:v>
      </x:c>
      <x:c r="E6" s="40" t="s">
        <x:v>16</x:v>
      </x:c>
      <x:c r="F6" s="40" t="s">
        <x:v>17</x:v>
      </x:c>
      <x:c r="G6" s="41" t="s">
        <x:v>14</x:v>
      </x:c>
      <x:c r="H6" s="41" t="s">
        <x:v>15</x:v>
      </x:c>
      <x:c r="I6" s="42" t="s">
        <x:v>16</x:v>
      </x:c>
      <x:c r="J6" s="42" t="s">
        <x:v>17</x:v>
      </x:c>
    </x:row>
    <x:row r="7">
      <x:c r="A7" s="43" t="str">
        <x:v>台北市</x:v>
      </x:c>
      <x:c r="B7" s="44" t="str">
        <x:v>信義區</x:v>
      </x:c>
      <x:c r="C7" s="45" t="n">
        <x:v>2622</x:v>
      </x:c>
      <x:c r="D7" s="45" t="n">
        <x:v>2951</x:v>
      </x:c>
      <x:c r="E7" s="45" t="n">
        <x:f t="shared" ref="E7:E40" si="0">D7-C7</x:f>
        <x:v>329</x:v>
      </x:c>
      <x:c r="F7" s="46" t="n">
        <x:f t="shared" ref="F7:F40" si="1">IFERROR((D7-C7)/C7,"")</x:f>
        <x:v>0.12547673531655226</x:v>
      </x:c>
      <x:c r="G7" s="45" t="n">
        <x:v>27057</x:v>
      </x:c>
      <x:c r="H7" s="45" t="n">
        <x:v>33730</x:v>
      </x:c>
      <x:c r="I7" s="45" t="n">
        <x:f t="shared" ref="I7:I40" si="2">H7-G7</x:f>
        <x:v>6673</x:v>
      </x:c>
      <x:c r="J7" s="46" t="n">
        <x:f t="shared" ref="J7:J40" si="3">IFERROR((H7-G7)/G7,"")</x:f>
        <x:v>0.24662749011346416</x:v>
      </x:c>
    </x:row>
    <x:row r="8">
      <x:c r="A8" s="47" t="str">
        <x:v>台北市</x:v>
      </x:c>
      <x:c r="B8" s="48" t="str">
        <x:v>中山區</x:v>
      </x:c>
      <x:c r="C8" s="49" t="n">
        <x:v>2329</x:v>
      </x:c>
      <x:c r="D8" s="49" t="n">
        <x:v>2642</x:v>
      </x:c>
      <x:c r="E8" s="49" t="n">
        <x:f t="shared" si="0"/>
        <x:v>313</x:v>
      </x:c>
      <x:c r="F8" s="50" t="n">
        <x:f t="shared" si="1"/>
        <x:v>0.13439244310863033</x:v>
      </x:c>
      <x:c r="G8" s="49" t="n">
        <x:v>30620</x:v>
      </x:c>
      <x:c r="H8" s="49" t="n">
        <x:v>36557</x:v>
      </x:c>
      <x:c r="I8" s="49" t="n">
        <x:f t="shared" si="2"/>
        <x:v>5937</x:v>
      </x:c>
      <x:c r="J8" s="50" t="n">
        <x:f t="shared" si="3"/>
        <x:v>0.19389288047028086</x:v>
      </x:c>
    </x:row>
    <x:row r="9">
      <x:c r="A9" s="43" t="str">
        <x:v>台北市</x:v>
      </x:c>
      <x:c r="B9" s="44" t="str">
        <x:v>松山區</x:v>
      </x:c>
      <x:c r="C9" s="45" t="n">
        <x:v>1588</x:v>
      </x:c>
      <x:c r="D9" s="45" t="n">
        <x:v>1810</x:v>
      </x:c>
      <x:c r="E9" s="45" t="n">
        <x:f t="shared" si="0"/>
        <x:v>222</x:v>
      </x:c>
      <x:c r="F9" s="46" t="n">
        <x:f t="shared" si="1"/>
        <x:v>0.1397984886649874</x:v>
      </x:c>
      <x:c r="G9" s="45" t="n">
        <x:v>20135</x:v>
      </x:c>
      <x:c r="H9" s="45" t="n">
        <x:v>25338</x:v>
      </x:c>
      <x:c r="I9" s="45" t="n">
        <x:f t="shared" si="2"/>
        <x:v>5203</x:v>
      </x:c>
      <x:c r="J9" s="46" t="n">
        <x:f t="shared" si="3"/>
        <x:v>0.2584057611124907</x:v>
      </x:c>
    </x:row>
    <x:row r="10">
      <x:c r="A10" s="47" t="str">
        <x:v>台北市</x:v>
      </x:c>
      <x:c r="B10" s="48" t="str">
        <x:v>大安區</x:v>
      </x:c>
      <x:c r="C10" s="49" t="n">
        <x:v>2907</x:v>
      </x:c>
      <x:c r="D10" s="49" t="n">
        <x:v>3705</x:v>
      </x:c>
      <x:c r="E10" s="49" t="n">
        <x:f t="shared" si="0"/>
        <x:v>798</x:v>
      </x:c>
      <x:c r="F10" s="50" t="n">
        <x:f t="shared" si="1"/>
        <x:v>0.27450980392156865</x:v>
      </x:c>
      <x:c r="G10" s="49" t="n">
        <x:v>54181</x:v>
      </x:c>
      <x:c r="H10" s="49" t="n">
        <x:v>59246</x:v>
      </x:c>
      <x:c r="I10" s="49" t="n">
        <x:f t="shared" si="2"/>
        <x:v>5065</x:v>
      </x:c>
      <x:c r="J10" s="50" t="n">
        <x:f t="shared" si="3"/>
        <x:v>0.09348295527952603</x:v>
      </x:c>
    </x:row>
    <x:row r="11">
      <x:c r="A11" s="43" t="str">
        <x:v>台北市</x:v>
      </x:c>
      <x:c r="B11" s="44" t="str">
        <x:v>內湖區</x:v>
      </x:c>
      <x:c r="C11" s="45" t="n">
        <x:v>2123</x:v>
      </x:c>
      <x:c r="D11" s="45" t="n">
        <x:v>2156</x:v>
      </x:c>
      <x:c r="E11" s="45" t="n">
        <x:f t="shared" si="0"/>
        <x:v>33</x:v>
      </x:c>
      <x:c r="F11" s="46" t="n">
        <x:f t="shared" si="1"/>
        <x:v>0.015544041450777202</x:v>
      </x:c>
      <x:c r="G11" s="45" t="n">
        <x:v>14655</x:v>
      </x:c>
      <x:c r="H11" s="45" t="n">
        <x:v>19173</x:v>
      </x:c>
      <x:c r="I11" s="45" t="n">
        <x:f t="shared" si="2"/>
        <x:v>4518</x:v>
      </x:c>
      <x:c r="J11" s="46" t="n">
        <x:f t="shared" si="3"/>
        <x:v>0.3082906857727738</x:v>
      </x:c>
    </x:row>
    <x:row r="12">
      <x:c r="A12" s="47" t="str">
        <x:v>台北市</x:v>
      </x:c>
      <x:c r="B12" s="48" t="str">
        <x:v>南港區</x:v>
      </x:c>
      <x:c r="C12" s="49" t="n">
        <x:v>1351</x:v>
      </x:c>
      <x:c r="D12" s="49" t="n">
        <x:v>1481</x:v>
      </x:c>
      <x:c r="E12" s="49" t="n">
        <x:f t="shared" si="0"/>
        <x:v>130</x:v>
      </x:c>
      <x:c r="F12" s="50" t="n">
        <x:f t="shared" si="1"/>
        <x:v>0.09622501850481126</x:v>
      </x:c>
      <x:c r="G12" s="49" t="n">
        <x:v>10759</x:v>
      </x:c>
      <x:c r="H12" s="49" t="n">
        <x:v>14848</x:v>
      </x:c>
      <x:c r="I12" s="49" t="n">
        <x:f t="shared" si="2"/>
        <x:v>4089</x:v>
      </x:c>
      <x:c r="J12" s="50" t="n">
        <x:f t="shared" si="3"/>
        <x:v>0.38005390835579517</x:v>
      </x:c>
    </x:row>
    <x:row r="13">
      <x:c r="A13" s="43" t="str">
        <x:v>台北市</x:v>
      </x:c>
      <x:c r="B13" s="44" t="str">
        <x:v>中正區</x:v>
      </x:c>
      <x:c r="C13" s="45" t="n">
        <x:v>1593</x:v>
      </x:c>
      <x:c r="D13" s="45" t="n">
        <x:v>2301</x:v>
      </x:c>
      <x:c r="E13" s="45" t="n">
        <x:f t="shared" si="0"/>
        <x:v>708</x:v>
      </x:c>
      <x:c r="F13" s="46" t="n">
        <x:f t="shared" si="1"/>
        <x:v>0.4444444444444444</x:v>
      </x:c>
      <x:c r="G13" s="45" t="n">
        <x:v>24102</x:v>
      </x:c>
      <x:c r="H13" s="45" t="n">
        <x:v>27631</x:v>
      </x:c>
      <x:c r="I13" s="45" t="n">
        <x:f t="shared" si="2"/>
        <x:v>3529</x:v>
      </x:c>
      <x:c r="J13" s="46" t="n">
        <x:f t="shared" si="3"/>
        <x:v>0.14641938428346196</x:v>
      </x:c>
    </x:row>
    <x:row r="14">
      <x:c r="A14" s="47" t="str">
        <x:v>台北市</x:v>
      </x:c>
      <x:c r="B14" s="48" t="str">
        <x:v>大同區</x:v>
      </x:c>
      <x:c r="C14" s="49" t="n">
        <x:v>1224</x:v>
      </x:c>
      <x:c r="D14" s="49" t="n">
        <x:v>1231</x:v>
      </x:c>
      <x:c r="E14" s="49" t="n">
        <x:f t="shared" si="0"/>
        <x:v>7</x:v>
      </x:c>
      <x:c r="F14" s="50" t="n">
        <x:f t="shared" si="1"/>
        <x:v>0.005718954248366013</x:v>
      </x:c>
      <x:c r="G14" s="49" t="n">
        <x:v>13761</x:v>
      </x:c>
      <x:c r="H14" s="49" t="n">
        <x:v>16661</x:v>
      </x:c>
      <x:c r="I14" s="49" t="n">
        <x:f t="shared" si="2"/>
        <x:v>2900</x:v>
      </x:c>
      <x:c r="J14" s="50" t="n">
        <x:f t="shared" si="3"/>
        <x:v>0.21074049851028268</x:v>
      </x:c>
    </x:row>
    <x:row r="15">
      <x:c r="A15" s="43" t="str">
        <x:v>台北市</x:v>
      </x:c>
      <x:c r="B15" s="44" t="str">
        <x:v>萬華區</x:v>
      </x:c>
      <x:c r="C15" s="45" t="n">
        <x:v>1758</x:v>
      </x:c>
      <x:c r="D15" s="45" t="n">
        <x:v>1190</x:v>
      </x:c>
      <x:c r="E15" s="45" t="n">
        <x:f t="shared" si="0"/>
        <x:v>-568</x:v>
      </x:c>
      <x:c r="F15" s="46" t="n">
        <x:f t="shared" si="1"/>
        <x:v>-0.323094425483504</x:v>
      </x:c>
      <x:c r="G15" s="45" t="n">
        <x:v>11176</x:v>
      </x:c>
      <x:c r="H15" s="45" t="n">
        <x:v>13730</x:v>
      </x:c>
      <x:c r="I15" s="45" t="n">
        <x:f t="shared" si="2"/>
        <x:v>2554</x:v>
      </x:c>
      <x:c r="J15" s="46" t="n">
        <x:f t="shared" si="3"/>
        <x:v>0.22852541159627773</x:v>
      </x:c>
    </x:row>
    <x:row r="16">
      <x:c r="A16" s="47" t="str">
        <x:v>台北市</x:v>
      </x:c>
      <x:c r="B16" s="48" t="str">
        <x:v>士林區</x:v>
      </x:c>
      <x:c r="C16" s="49" t="n">
        <x:v>2042</x:v>
      </x:c>
      <x:c r="D16" s="49" t="n">
        <x:v>1532</x:v>
      </x:c>
      <x:c r="E16" s="49" t="n">
        <x:f t="shared" si="0"/>
        <x:v>-510</x:v>
      </x:c>
      <x:c r="F16" s="50" t="n">
        <x:f t="shared" si="1"/>
        <x:v>-0.24975514201762977</x:v>
      </x:c>
      <x:c r="G16" s="49" t="n">
        <x:v>14868</x:v>
      </x:c>
      <x:c r="H16" s="49" t="n">
        <x:v>17299</x:v>
      </x:c>
      <x:c r="I16" s="49" t="n">
        <x:f t="shared" si="2"/>
        <x:v>2431</x:v>
      </x:c>
      <x:c r="J16" s="50" t="n">
        <x:f t="shared" si="3"/>
        <x:v>0.16350551520043047</x:v>
      </x:c>
    </x:row>
    <x:row r="17">
      <x:c r="A17" s="43" t="str">
        <x:v>台北市</x:v>
      </x:c>
      <x:c r="B17" s="44" t="str">
        <x:v>文山區</x:v>
      </x:c>
      <x:c r="C17" s="45" t="n">
        <x:v>1522</x:v>
      </x:c>
      <x:c r="D17" s="45" t="n">
        <x:v>1201</x:v>
      </x:c>
      <x:c r="E17" s="45" t="n">
        <x:f t="shared" si="0"/>
        <x:v>-321</x:v>
      </x:c>
      <x:c r="F17" s="46" t="n">
        <x:f t="shared" si="1"/>
        <x:v>-0.21090670170827858</x:v>
      </x:c>
      <x:c r="G17" s="45" t="n">
        <x:v>9150</x:v>
      </x:c>
      <x:c r="H17" s="45" t="n">
        <x:v>11202</x:v>
      </x:c>
      <x:c r="I17" s="45" t="n">
        <x:f t="shared" si="2"/>
        <x:v>2052</x:v>
      </x:c>
      <x:c r="J17" s="46" t="n">
        <x:f t="shared" si="3"/>
        <x:v>0.2242622950819672</x:v>
      </x:c>
    </x:row>
    <x:row r="18">
      <x:c r="A18" s="47" t="str">
        <x:v>台北市</x:v>
      </x:c>
      <x:c r="B18" s="48" t="str">
        <x:v>北投區</x:v>
      </x:c>
      <x:c r="C18" s="49" t="n">
        <x:v>1977</x:v>
      </x:c>
      <x:c r="D18" s="49" t="n">
        <x:v>1457</x:v>
      </x:c>
      <x:c r="E18" s="49" t="n">
        <x:f t="shared" si="0"/>
        <x:v>-520</x:v>
      </x:c>
      <x:c r="F18" s="50" t="n">
        <x:f t="shared" si="1"/>
        <x:v>-0.26302478502781995</x:v>
      </x:c>
      <x:c r="G18" s="49" t="n">
        <x:v>11638</x:v>
      </x:c>
      <x:c r="H18" s="49" t="n">
        <x:v>13414</x:v>
      </x:c>
      <x:c r="I18" s="49" t="n">
        <x:f t="shared" si="2"/>
        <x:v>1776</x:v>
      </x:c>
      <x:c r="J18" s="50" t="n">
        <x:f t="shared" si="3"/>
        <x:v>0.15260354012716962</x:v>
      </x:c>
    </x:row>
    <x:row r="19">
      <x:c r="A19" s="43" t="str">
        <x:v>台北市</x:v>
      </x:c>
      <x:c r="B19" s="44" t="str">
        <x:v>臺大公館校區</x:v>
      </x:c>
      <x:c r="C19" s="45" t="n">
        <x:v>1572</x:v>
      </x:c>
      <x:c r="D19" s="45" t="n">
        <x:v>1180</x:v>
      </x:c>
      <x:c r="E19" s="45" t="n">
        <x:f t="shared" si="0"/>
        <x:v>-392</x:v>
      </x:c>
      <x:c r="F19" s="46" t="n">
        <x:f t="shared" si="1"/>
        <x:v>-0.24936386768447838</x:v>
      </x:c>
      <x:c r="G19" s="45" t="n">
        <x:v>15107</x:v>
      </x:c>
      <x:c r="H19" s="45" t="n">
        <x:v>11535</x:v>
      </x:c>
      <x:c r="I19" s="45" t="n">
        <x:f t="shared" si="2"/>
        <x:v>-3572</x:v>
      </x:c>
      <x:c r="J19" s="46" t="n">
        <x:f t="shared" si="3"/>
        <x:v>-0.23644668034685906</x:v>
      </x:c>
    </x:row>
    <x:row r="20">
      <x:c r="A20" s="47" t="str">
        <x:v>新北市</x:v>
      </x:c>
      <x:c r="B20" s="48" t="str">
        <x:v>板橋區</x:v>
      </x:c>
      <x:c r="C20" s="49" t="n">
        <x:v>3273</x:v>
      </x:c>
      <x:c r="D20" s="49" t="n">
        <x:v>4801</x:v>
      </x:c>
      <x:c r="E20" s="49" t="n">
        <x:f t="shared" si="0"/>
        <x:v>1528</x:v>
      </x:c>
      <x:c r="F20" s="50" t="n">
        <x:f t="shared" si="1"/>
        <x:v>0.46684998472349526</x:v>
      </x:c>
      <x:c r="G20" s="49" t="n">
        <x:v>28385</x:v>
      </x:c>
      <x:c r="H20" s="49" t="n">
        <x:v>33638</x:v>
      </x:c>
      <x:c r="I20" s="49" t="n">
        <x:f t="shared" si="2"/>
        <x:v>5253</x:v>
      </x:c>
      <x:c r="J20" s="50" t="n">
        <x:f t="shared" si="3"/>
        <x:v>0.18506253302800776</x:v>
      </x:c>
    </x:row>
    <x:row r="21">
      <x:c r="A21" s="43" t="str">
        <x:v>新北市</x:v>
      </x:c>
      <x:c r="B21" s="44" t="str">
        <x:v>新莊區</x:v>
      </x:c>
      <x:c r="C21" s="45" t="n">
        <x:v>2091</x:v>
      </x:c>
      <x:c r="D21" s="45" t="n">
        <x:v>2101</x:v>
      </x:c>
      <x:c r="E21" s="45" t="n">
        <x:f t="shared" si="0"/>
        <x:v>10</x:v>
      </x:c>
      <x:c r="F21" s="46" t="n">
        <x:f t="shared" si="1"/>
        <x:v>0.004782400765184123</x:v>
      </x:c>
      <x:c r="G21" s="45" t="n">
        <x:v>15338</x:v>
      </x:c>
      <x:c r="H21" s="45" t="n">
        <x:v>18920</x:v>
      </x:c>
      <x:c r="I21" s="45" t="n">
        <x:f t="shared" si="2"/>
        <x:v>3582</x:v>
      </x:c>
      <x:c r="J21" s="46" t="n">
        <x:f t="shared" si="3"/>
        <x:v>0.23353761898552614</x:v>
      </x:c>
    </x:row>
    <x:row r="22">
      <x:c r="A22" s="47" t="str">
        <x:v>新北市</x:v>
      </x:c>
      <x:c r="B22" s="48" t="str">
        <x:v>新店區</x:v>
      </x:c>
      <x:c r="C22" s="49" t="n">
        <x:v>1578</x:v>
      </x:c>
      <x:c r="D22" s="49" t="n">
        <x:v>1902</x:v>
      </x:c>
      <x:c r="E22" s="49" t="n">
        <x:f t="shared" si="0"/>
        <x:v>324</x:v>
      </x:c>
      <x:c r="F22" s="50" t="n">
        <x:f t="shared" si="1"/>
        <x:v>0.20532319391634982</x:v>
      </x:c>
      <x:c r="G22" s="49" t="n">
        <x:v>11019</x:v>
      </x:c>
      <x:c r="H22" s="49" t="n">
        <x:v>13758</x:v>
      </x:c>
      <x:c r="I22" s="49" t="n">
        <x:f t="shared" si="2"/>
        <x:v>2739</x:v>
      </x:c>
      <x:c r="J22" s="50" t="n">
        <x:f t="shared" si="3"/>
        <x:v>0.24857065069425538</x:v>
      </x:c>
    </x:row>
    <x:row r="23">
      <x:c r="A23" s="43" t="str">
        <x:v>新北市</x:v>
      </x:c>
      <x:c r="B23" s="44" t="str">
        <x:v>中和區</x:v>
      </x:c>
      <x:c r="C23" s="45" t="n">
        <x:v>2027</x:v>
      </x:c>
      <x:c r="D23" s="45" t="n">
        <x:v>1994</x:v>
      </x:c>
      <x:c r="E23" s="45" t="n">
        <x:f t="shared" si="0"/>
        <x:v>-33</x:v>
      </x:c>
      <x:c r="F23" s="46" t="n">
        <x:f t="shared" si="1"/>
        <x:v>-0.016280217069560926</x:v>
      </x:c>
      <x:c r="G23" s="45" t="n">
        <x:v>12703</x:v>
      </x:c>
      <x:c r="H23" s="45" t="n">
        <x:v>15260</x:v>
      </x:c>
      <x:c r="I23" s="45" t="n">
        <x:f t="shared" si="2"/>
        <x:v>2557</x:v>
      </x:c>
      <x:c r="J23" s="46" t="n">
        <x:f t="shared" si="3"/>
        <x:v>0.2012910336141069</x:v>
      </x:c>
    </x:row>
    <x:row r="24">
      <x:c r="A24" s="47" t="str">
        <x:v>新北市</x:v>
      </x:c>
      <x:c r="B24" s="48" t="str">
        <x:v>汐止區</x:v>
      </x:c>
      <x:c r="C24" s="49" t="n">
        <x:v>1255</x:v>
      </x:c>
      <x:c r="D24" s="49" t="n">
        <x:v>1193</x:v>
      </x:c>
      <x:c r="E24" s="49" t="n">
        <x:f t="shared" si="0"/>
        <x:v>-62</x:v>
      </x:c>
      <x:c r="F24" s="50" t="n">
        <x:f t="shared" si="1"/>
        <x:v>-0.04940239043824701</x:v>
      </x:c>
      <x:c r="G24" s="49" t="n">
        <x:v>4396</x:v>
      </x:c>
      <x:c r="H24" s="49" t="n">
        <x:v>6878</x:v>
      </x:c>
      <x:c r="I24" s="49" t="n">
        <x:f t="shared" si="2"/>
        <x:v>2482</x:v>
      </x:c>
      <x:c r="J24" s="50" t="n">
        <x:f t="shared" si="3"/>
        <x:v>0.564604185623294</x:v>
      </x:c>
    </x:row>
    <x:row r="25">
      <x:c r="A25" s="43" t="str">
        <x:v>新北市</x:v>
      </x:c>
      <x:c r="B25" s="44" t="str">
        <x:v>林口區</x:v>
      </x:c>
      <x:c r="C25" s="45" t="n">
        <x:v>1154</x:v>
      </x:c>
      <x:c r="D25" s="45" t="n">
        <x:v>988</x:v>
      </x:c>
      <x:c r="E25" s="45" t="n">
        <x:f t="shared" si="0"/>
        <x:v>-166</x:v>
      </x:c>
      <x:c r="F25" s="46" t="n">
        <x:f t="shared" si="1"/>
        <x:v>-0.1438474870017331</x:v>
      </x:c>
      <x:c r="G25" s="45" t="n">
        <x:v>6832</x:v>
      </x:c>
      <x:c r="H25" s="45" t="n">
        <x:v>9189</x:v>
      </x:c>
      <x:c r="I25" s="45" t="n">
        <x:f t="shared" si="2"/>
        <x:v>2357</x:v>
      </x:c>
      <x:c r="J25" s="46" t="n">
        <x:f t="shared" si="3"/>
        <x:v>0.34499414519906324</x:v>
      </x:c>
    </x:row>
    <x:row r="26">
      <x:c r="A26" s="47" t="str">
        <x:v>新北市</x:v>
      </x:c>
      <x:c r="B26" s="48" t="str">
        <x:v>淡水區</x:v>
      </x:c>
      <x:c r="C26" s="49" t="n">
        <x:v>1056</x:v>
      </x:c>
      <x:c r="D26" s="49" t="n">
        <x:v>778</x:v>
      </x:c>
      <x:c r="E26" s="49" t="n">
        <x:f t="shared" si="0"/>
        <x:v>-278</x:v>
      </x:c>
      <x:c r="F26" s="50" t="n">
        <x:f t="shared" si="1"/>
        <x:v>-0.26325757575757575</x:v>
      </x:c>
      <x:c r="G26" s="49" t="n">
        <x:v>3927</x:v>
      </x:c>
      <x:c r="H26" s="49" t="n">
        <x:v>6147</x:v>
      </x:c>
      <x:c r="I26" s="49" t="n">
        <x:f t="shared" si="2"/>
        <x:v>2220</x:v>
      </x:c>
      <x:c r="J26" s="50" t="n">
        <x:f t="shared" si="3"/>
        <x:v>0.5653170359052712</x:v>
      </x:c>
    </x:row>
    <x:row r="27">
      <x:c r="A27" s="43" t="str">
        <x:v>新北市</x:v>
      </x:c>
      <x:c r="B27" s="44" t="str">
        <x:v>三重區</x:v>
      </x:c>
      <x:c r="C27" s="45" t="n">
        <x:v>1984</x:v>
      </x:c>
      <x:c r="D27" s="45" t="n">
        <x:v>2045</x:v>
      </x:c>
      <x:c r="E27" s="45" t="n">
        <x:f t="shared" si="0"/>
        <x:v>61</x:v>
      </x:c>
      <x:c r="F27" s="46" t="n">
        <x:f t="shared" si="1"/>
        <x:v>0.030745967741935484</x:v>
      </x:c>
      <x:c r="G27" s="45" t="n">
        <x:v>13659</x:v>
      </x:c>
      <x:c r="H27" s="45" t="n">
        <x:v>15762</x:v>
      </x:c>
      <x:c r="I27" s="45" t="n">
        <x:f t="shared" si="2"/>
        <x:v>2103</x:v>
      </x:c>
      <x:c r="J27" s="46" t="n">
        <x:f t="shared" si="3"/>
        <x:v>0.15396441906435318</x:v>
      </x:c>
    </x:row>
    <x:row r="28">
      <x:c r="A28" s="47" t="str">
        <x:v>新北市</x:v>
      </x:c>
      <x:c r="B28" s="48" t="str">
        <x:v>永和區</x:v>
      </x:c>
      <x:c r="C28" s="49" t="n">
        <x:v>918</x:v>
      </x:c>
      <x:c r="D28" s="49" t="n">
        <x:v>912</x:v>
      </x:c>
      <x:c r="E28" s="49" t="n">
        <x:f t="shared" si="0"/>
        <x:v>-6</x:v>
      </x:c>
      <x:c r="F28" s="50" t="n">
        <x:f t="shared" si="1"/>
        <x:v>-0.006535947712418301</x:v>
      </x:c>
      <x:c r="G28" s="49" t="n">
        <x:v>7013</x:v>
      </x:c>
      <x:c r="H28" s="49" t="n">
        <x:v>8552</x:v>
      </x:c>
      <x:c r="I28" s="49" t="n">
        <x:f t="shared" si="2"/>
        <x:v>1539</x:v>
      </x:c>
      <x:c r="J28" s="50" t="n">
        <x:f t="shared" si="3"/>
        <x:v>0.21944959361186367</x:v>
      </x:c>
    </x:row>
    <x:row r="29">
      <x:c r="A29" s="43" t="str">
        <x:v>新北市</x:v>
      </x:c>
      <x:c r="B29" s="44" t="str">
        <x:v>土城區</x:v>
      </x:c>
      <x:c r="C29" s="45" t="n">
        <x:v>1725</x:v>
      </x:c>
      <x:c r="D29" s="45" t="n">
        <x:v>1654</x:v>
      </x:c>
      <x:c r="E29" s="45" t="n">
        <x:f t="shared" si="0"/>
        <x:v>-71</x:v>
      </x:c>
      <x:c r="F29" s="46" t="n">
        <x:f t="shared" si="1"/>
        <x:v>-0.04115942028985507</x:v>
      </x:c>
      <x:c r="G29" s="45" t="n">
        <x:v>9118</x:v>
      </x:c>
      <x:c r="H29" s="45" t="n">
        <x:v>10612</x:v>
      </x:c>
      <x:c r="I29" s="45" t="n">
        <x:f t="shared" si="2"/>
        <x:v>1494</x:v>
      </x:c>
      <x:c r="J29" s="46" t="n">
        <x:f t="shared" si="3"/>
        <x:v>0.16385172186883087</x:v>
      </x:c>
    </x:row>
    <x:row r="30">
      <x:c r="A30" s="47" t="str">
        <x:v>新北市</x:v>
      </x:c>
      <x:c r="B30" s="48" t="str">
        <x:v>三峽區</x:v>
      </x:c>
      <x:c r="C30" s="49" t="n">
        <x:v>824</x:v>
      </x:c>
      <x:c r="D30" s="49" t="n">
        <x:v>852</x:v>
      </x:c>
      <x:c r="E30" s="49" t="n">
        <x:f t="shared" si="0"/>
        <x:v>28</x:v>
      </x:c>
      <x:c r="F30" s="50" t="n">
        <x:f t="shared" si="1"/>
        <x:v>0.03398058252427184</x:v>
      </x:c>
      <x:c r="G30" s="49" t="n">
        <x:v>4655</x:v>
      </x:c>
      <x:c r="H30" s="49" t="n">
        <x:v>6048</x:v>
      </x:c>
      <x:c r="I30" s="49" t="n">
        <x:f t="shared" si="2"/>
        <x:v>1393</x:v>
      </x:c>
      <x:c r="J30" s="50" t="n">
        <x:f t="shared" si="3"/>
        <x:v>0.2992481203007519</x:v>
      </x:c>
    </x:row>
    <x:row r="31">
      <x:c r="A31" s="43" t="str">
        <x:v>新北市</x:v>
      </x:c>
      <x:c r="B31" s="44" t="str">
        <x:v>樹林區</x:v>
      </x:c>
      <x:c r="C31" s="45" t="n">
        <x:v>828</x:v>
      </x:c>
      <x:c r="D31" s="45" t="n">
        <x:v>672</x:v>
      </x:c>
      <x:c r="E31" s="45" t="n">
        <x:f t="shared" si="0"/>
        <x:v>-156</x:v>
      </x:c>
      <x:c r="F31" s="46" t="n">
        <x:f t="shared" si="1"/>
        <x:v>-0.18840579710144928</x:v>
      </x:c>
      <x:c r="G31" s="45" t="n">
        <x:v>3876</x:v>
      </x:c>
      <x:c r="H31" s="45" t="n">
        <x:v>5124</x:v>
      </x:c>
      <x:c r="I31" s="45" t="n">
        <x:f t="shared" si="2"/>
        <x:v>1248</x:v>
      </x:c>
      <x:c r="J31" s="46" t="n">
        <x:f t="shared" si="3"/>
        <x:v>0.3219814241486068</x:v>
      </x:c>
    </x:row>
    <x:row r="32">
      <x:c r="A32" s="47" t="str">
        <x:v>新北市</x:v>
      </x:c>
      <x:c r="B32" s="48" t="str">
        <x:v>蘆洲區</x:v>
      </x:c>
      <x:c r="C32" s="49" t="n">
        <x:v>1061</x:v>
      </x:c>
      <x:c r="D32" s="49" t="n">
        <x:v>645</x:v>
      </x:c>
      <x:c r="E32" s="49" t="n">
        <x:f t="shared" si="0"/>
        <x:v>-416</x:v>
      </x:c>
      <x:c r="F32" s="50" t="n">
        <x:f t="shared" si="1"/>
        <x:v>-0.3920829406220547</x:v>
      </x:c>
      <x:c r="G32" s="49" t="n">
        <x:v>5909</x:v>
      </x:c>
      <x:c r="H32" s="49" t="n">
        <x:v>6813</x:v>
      </x:c>
      <x:c r="I32" s="49" t="n">
        <x:f t="shared" si="2"/>
        <x:v>904</x:v>
      </x:c>
      <x:c r="J32" s="50" t="n">
        <x:f t="shared" si="3"/>
        <x:v>0.15298696903029277</x:v>
      </x:c>
    </x:row>
    <x:row r="33">
      <x:c r="A33" s="43" t="str">
        <x:v>新北市</x:v>
      </x:c>
      <x:c r="B33" s="44" t="str">
        <x:v>鶯歌區</x:v>
      </x:c>
      <x:c r="C33" s="45" t="n">
        <x:v>735</x:v>
      </x:c>
      <x:c r="D33" s="45" t="n">
        <x:v>614</x:v>
      </x:c>
      <x:c r="E33" s="45" t="n">
        <x:f t="shared" si="0"/>
        <x:v>-121</x:v>
      </x:c>
      <x:c r="F33" s="46" t="n">
        <x:f t="shared" si="1"/>
        <x:v>-0.16462585034013605</x:v>
      </x:c>
      <x:c r="G33" s="45" t="n">
        <x:v>1840</x:v>
      </x:c>
      <x:c r="H33" s="45" t="n">
        <x:v>2565</x:v>
      </x:c>
      <x:c r="I33" s="45" t="n">
        <x:f t="shared" si="2"/>
        <x:v>725</x:v>
      </x:c>
      <x:c r="J33" s="46" t="n">
        <x:f t="shared" si="3"/>
        <x:v>0.39402173913043476</x:v>
      </x:c>
    </x:row>
    <x:row r="34">
      <x:c r="A34" s="47" t="str">
        <x:v>新北市</x:v>
      </x:c>
      <x:c r="B34" s="48" t="str">
        <x:v>八里區</x:v>
      </x:c>
      <x:c r="C34" s="49" t="n">
        <x:v>200</x:v>
      </x:c>
      <x:c r="D34" s="49" t="n">
        <x:v>198</x:v>
      </x:c>
      <x:c r="E34" s="49" t="n">
        <x:f t="shared" si="0"/>
        <x:v>-2</x:v>
      </x:c>
      <x:c r="F34" s="50" t="n">
        <x:f t="shared" si="1"/>
        <x:v>-0.01</x:v>
      </x:c>
      <x:c r="G34" s="49" t="n">
        <x:v>440</x:v>
      </x:c>
      <x:c r="H34" s="49" t="n">
        <x:v>1032</x:v>
      </x:c>
      <x:c r="I34" s="49" t="n">
        <x:f t="shared" si="2"/>
        <x:v>592</x:v>
      </x:c>
      <x:c r="J34" s="50" t="n">
        <x:f t="shared" si="3"/>
        <x:v>1.3454545454545455</x:v>
      </x:c>
    </x:row>
    <x:row r="35">
      <x:c r="A35" s="43" t="str">
        <x:v>新北市</x:v>
      </x:c>
      <x:c r="B35" s="44" t="str">
        <x:v>山區濱海區</x:v>
      </x:c>
      <x:c r="C35" s="45" t="n">
        <x:v>306</x:v>
      </x:c>
      <x:c r="D35" s="45" t="n">
        <x:v>191</x:v>
      </x:c>
      <x:c r="E35" s="45" t="n">
        <x:f t="shared" si="0"/>
        <x:v>-115</x:v>
      </x:c>
      <x:c r="F35" s="46" t="n">
        <x:f t="shared" si="1"/>
        <x:v>-0.3758169934640523</x:v>
      </x:c>
      <x:c r="G35" s="45" t="n">
        <x:v>438</x:v>
      </x:c>
      <x:c r="H35" s="45" t="n">
        <x:v>794</x:v>
      </x:c>
      <x:c r="I35" s="45" t="n">
        <x:f t="shared" si="2"/>
        <x:v>356</x:v>
      </x:c>
      <x:c r="J35" s="46" t="n">
        <x:f t="shared" si="3"/>
        <x:v>0.8127853881278538</x:v>
      </x:c>
    </x:row>
    <x:row r="36">
      <x:c r="A36" s="47" t="str">
        <x:v>新北市</x:v>
      </x:c>
      <x:c r="B36" s="48" t="str">
        <x:v>五股區</x:v>
      </x:c>
      <x:c r="C36" s="49" t="n">
        <x:v>282</x:v>
      </x:c>
      <x:c r="D36" s="49" t="n">
        <x:v>241</x:v>
      </x:c>
      <x:c r="E36" s="49" t="n">
        <x:f t="shared" si="0"/>
        <x:v>-41</x:v>
      </x:c>
      <x:c r="F36" s="50" t="n">
        <x:f t="shared" si="1"/>
        <x:v>-0.1453900709219858</x:v>
      </x:c>
      <x:c r="G36" s="49" t="n">
        <x:v>810</x:v>
      </x:c>
      <x:c r="H36" s="49" t="n">
        <x:v>1097</x:v>
      </x:c>
      <x:c r="I36" s="49" t="n">
        <x:f t="shared" si="2"/>
        <x:v>287</x:v>
      </x:c>
      <x:c r="J36" s="50" t="n">
        <x:f t="shared" si="3"/>
        <x:v>0.35432098765432096</x:v>
      </x:c>
    </x:row>
    <x:row r="37">
      <x:c r="A37" s="43" t="str">
        <x:v>新北市</x:v>
      </x:c>
      <x:c r="B37" s="44" t="str">
        <x:v>泰山區</x:v>
      </x:c>
      <x:c r="C37" s="45" t="n">
        <x:v>337</x:v>
      </x:c>
      <x:c r="D37" s="45" t="n">
        <x:v>213</x:v>
      </x:c>
      <x:c r="E37" s="45" t="n">
        <x:f t="shared" si="0"/>
        <x:v>-124</x:v>
      </x:c>
      <x:c r="F37" s="46" t="n">
        <x:f t="shared" si="1"/>
        <x:v>-0.36795252225519287</x:v>
      </x:c>
      <x:c r="G37" s="45" t="n">
        <x:v>1840</x:v>
      </x:c>
      <x:c r="H37" s="45" t="n">
        <x:v>2022</x:v>
      </x:c>
      <x:c r="I37" s="45" t="n">
        <x:f t="shared" si="2"/>
        <x:v>182</x:v>
      </x:c>
      <x:c r="J37" s="46" t="n">
        <x:f t="shared" si="3"/>
        <x:v>0.09891304347826087</x:v>
      </x:c>
    </x:row>
    <x:row r="38">
      <x:c r="A38" s="71" t="s">
        <x:v>25</x:v>
      </x:c>
      <x:c r="B38" s="71"/>
      <x:c r="C38" s="51">
        <x:v>24608</x:v>
      </x:c>
      <x:c r="D38" s="51">
        <x:v>24837</x:v>
      </x:c>
      <x:c r="E38" s="51">
        <x:f t="shared" si="0"/>
        <x:v>229</x:v>
      </x:c>
      <x:c r="F38" s="52">
        <x:f t="shared" si="1"/>
        <x:v>9.3059167750325095E-3</x:v>
      </x:c>
      <x:c r="G38" s="51">
        <x:v>257208</x:v>
      </x:c>
      <x:c r="H38" s="51">
        <x:v>300364</x:v>
      </x:c>
      <x:c r="I38" s="51">
        <x:f t="shared" si="2"/>
        <x:v>43156</x:v>
      </x:c>
      <x:c r="J38" s="52">
        <x:f t="shared" si="3"/>
        <x:v>0.16778638300519425</x:v>
      </x:c>
    </x:row>
    <x:row r="39">
      <x:c r="A39" s="71" t="s">
        <x:v>26</x:v>
      </x:c>
      <x:c r="B39" s="71"/>
      <x:c r="C39" s="51">
        <x:v>21634</x:v>
      </x:c>
      <x:c r="D39" s="51">
        <x:v>21994</x:v>
      </x:c>
      <x:c r="E39" s="51">
        <x:f t="shared" si="0"/>
        <x:v>360</x:v>
      </x:c>
      <x:c r="F39" s="52">
        <x:f t="shared" si="1"/>
        <x:v>1.6640473329019138E-2</x:v>
      </x:c>
      <x:c r="G39" s="51">
        <x:v>132196</x:v>
      </x:c>
      <x:c r="H39" s="51">
        <x:v>164212</x:v>
      </x:c>
      <x:c r="I39" s="51">
        <x:f t="shared" si="2"/>
        <x:v>32016</x:v>
      </x:c>
      <x:c r="J39" s="52">
        <x:f t="shared" si="3"/>
        <x:v>0.24218584526006839</x:v>
      </x:c>
    </x:row>
    <x:row r="40">
      <x:c r="A40" s="72" t="s">
        <x:v>69</x:v>
      </x:c>
      <x:c r="B40" s="72"/>
      <x:c r="C40" s="53">
        <x:v>46242</x:v>
      </x:c>
      <x:c r="D40" s="53">
        <x:v>46831</x:v>
      </x:c>
      <x:c r="E40" s="53">
        <x:f t="shared" si="0"/>
        <x:v>589</x:v>
      </x:c>
      <x:c r="F40" s="54">
        <x:f t="shared" si="1"/>
        <x:v>1.273733835041737E-2</x:v>
      </x:c>
      <x:c r="G40" s="53">
        <x:v>389404</x:v>
      </x:c>
      <x:c r="H40" s="53">
        <x:v>464576</x:v>
      </x:c>
      <x:c r="I40" s="53">
        <x:f t="shared" si="2"/>
        <x:v>75172</x:v>
      </x:c>
      <x:c r="J40" s="54">
        <x:f t="shared" si="3"/>
        <x:v>0.19304372836437222</x:v>
      </x:c>
    </x:row>
  </x:sheetData>
  <x:mergeCells>
    <x:mergeCell ref="A38:B38"/>
    <x:mergeCell ref="A39:B39"/>
    <x:mergeCell ref="A40:B40"/>
    <x:mergeCell ref="A1:J1"/>
    <x:mergeCell ref="A2:J2"/>
    <x:mergeCell ref="A3:J3"/>
    <x:mergeCell ref="A4:J4"/>
    <x:mergeCell ref="A5:A6"/>
    <x:mergeCell ref="B5:B6"/>
    <x:mergeCell ref="C5:F5"/>
    <x:mergeCell ref="G5:J5"/>
  </x:mergeCells>
  <x:conditionalFormatting sqref="F7:F37">
    <x:cfRule type="cellIs" dxfId="1" priority="2" operator="lessThan">
      <x:formula>0</x:formula>
    </x:cfRule>
  </x:conditionalFormatting>
  <x:conditionalFormatting sqref="J7:J37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6328125" defaultRowHeight="14.5"/>
  <x:cols>
    <x:col min="1" max="1" width="7" customWidth="1"/>
    <x:col min="2" max="2" width="10" customWidth="1"/>
    <x:col min="3" max="15" width="8.26953125" customWidth="1"/>
  </x:cols>
  <x:sheetData>
    <x:row r="1" ht="25.5" customHeight="1">
      <x:c r="A1" s="4" t="s">
        <x:v>70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15" customHeight="1">
      <x:c r="A2" s="3" t="s">
        <x:v>71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15" customHeight="1">
      <x:c r="A3" s="2" t="s">
        <x:v>72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15" customHeight="1">
      <x:c r="A4" s="3" t="s">
        <x:v>73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18" customHeight="1">
      <x:c r="A5" s="1" t="s">
        <x:v>7</x:v>
      </x:c>
      <x:c r="B5" s="1" t="s">
        <x:v>8</x:v>
      </x:c>
      <x:c r="C5" s="69" t="s">
        <x:v>74</x:v>
      </x:c>
      <x:c r="D5" s="69"/>
      <x:c r="E5" s="69"/>
      <x:c r="F5" s="69"/>
      <x:c r="G5" s="70" t="s">
        <x:v>75</x:v>
      </x:c>
      <x:c r="H5" s="70"/>
      <x:c r="I5" s="70"/>
      <x:c r="J5" s="73" t="s">
        <x:v>76</x:v>
      </x:c>
      <x:c r="K5" s="73"/>
      <x:c r="L5" s="73"/>
      <x:c r="M5" s="74" t="s">
        <x:v>77</x:v>
      </x:c>
      <x:c r="N5" s="74"/>
      <x:c r="O5" s="74"/>
    </x:row>
    <x:row r="6" ht="15" customHeight="1">
      <x:c r="A6" s="1"/>
      <x:c r="B6" s="1"/>
      <x:c r="C6" s="39" t="s">
        <x:v>14</x:v>
      </x:c>
      <x:c r="D6" s="40" t="s">
        <x:v>68</x:v>
      </x:c>
      <x:c r="E6" s="40" t="s">
        <x:v>16</x:v>
      </x:c>
      <x:c r="F6" s="40" t="s">
        <x:v>17</x:v>
      </x:c>
      <x:c r="G6" s="41" t="s">
        <x:v>14</x:v>
      </x:c>
      <x:c r="H6" s="41" t="s">
        <x:v>15</x:v>
      </x:c>
      <x:c r="I6" s="42" t="s">
        <x:v>17</x:v>
      </x:c>
      <x:c r="J6" s="55" t="s">
        <x:v>14</x:v>
      </x:c>
      <x:c r="K6" s="55" t="s">
        <x:v>15</x:v>
      </x:c>
      <x:c r="L6" s="56" t="s">
        <x:v>17</x:v>
      </x:c>
      <x:c r="M6" s="57" t="s">
        <x:v>14</x:v>
      </x:c>
      <x:c r="N6" s="57" t="s">
        <x:v>15</x:v>
      </x:c>
      <x:c r="O6" s="58" t="s">
        <x:v>16</x:v>
      </x:c>
    </x:row>
    <x:row r="7">
      <x:c r="A7" s="59" t="str">
        <x:v>台北市</x:v>
      </x:c>
      <x:c r="B7" s="60" t="str">
        <x:v>信義區</x:v>
      </x:c>
      <x:c r="C7" s="61" t="n">
        <x:v>2622</x:v>
      </x:c>
      <x:c r="D7" s="61" t="n">
        <x:v>2951</x:v>
      </x:c>
      <x:c r="E7" s="61" t="n">
        <x:f t="shared" ref="E7:E28" si="0">IF(OR(C7="",D7=""),"",D7-C7)</x:f>
        <x:v>329</x:v>
      </x:c>
      <x:c r="F7" s="62" t="n">
        <x:f t="shared" ref="F7:F28" si="1">IF(OR(C7="",D7="",C7=0),"",(D7-C7)/C7)</x:f>
        <x:v>0.12547673531655226</x:v>
      </x:c>
      <x:c r="G7" s="61" t="n">
        <x:v>27057</x:v>
      </x:c>
      <x:c r="H7" s="61" t="n">
        <x:v>33730</x:v>
      </x:c>
      <x:c r="I7" s="62" t="n">
        <x:f t="shared" ref="I7:I29" si="2">IFERROR((H7-G7)/G7,"")</x:f>
        <x:v>0.24662749011346416</x:v>
      </x:c>
      <x:c r="J7" s="61" t="n">
        <x:v>2331.2</x:v>
      </x:c>
      <x:c r="K7" s="61" t="n">
        <x:v>2921</x:v>
      </x:c>
      <x:c r="L7" s="62" t="n">
        <x:f t="shared" ref="L7:L29" si="3">IFERROR((K7-J7)/J7,"")</x:f>
        <x:v>0.25300274536719297</x:v>
      </x:c>
      <x:c r="M7" s="62" t="n">
        <x:v>0.872774873737374</x:v>
      </x:c>
      <x:c r="N7" s="62" t="n">
        <x:v>0.897731805555556</x:v>
      </x:c>
      <x:c r="O7" s="62" t="n">
        <x:f t="shared" ref="O7:O28" si="4">IF(OR(M7="",N7=""),"",N7-M7)</x:f>
        <x:v>0.024956931818182038</x:v>
      </x:c>
    </x:row>
    <x:row r="8">
      <x:c r="A8" s="63" t="str">
        <x:v>台北市</x:v>
      </x:c>
      <x:c r="B8" s="64" t="str">
        <x:v>中山區</x:v>
      </x:c>
      <x:c r="C8" s="65" t="n">
        <x:v>2329</x:v>
      </x:c>
      <x:c r="D8" s="65" t="n">
        <x:v>2642</x:v>
      </x:c>
      <x:c r="E8" s="65" t="n">
        <x:f t="shared" si="0"/>
        <x:v>313</x:v>
      </x:c>
      <x:c r="F8" s="66" t="n">
        <x:f t="shared" si="1"/>
        <x:v>0.13439244310863033</x:v>
      </x:c>
      <x:c r="G8" s="65" t="n">
        <x:v>30620</x:v>
      </x:c>
      <x:c r="H8" s="65" t="n">
        <x:v>36557</x:v>
      </x:c>
      <x:c r="I8" s="66" t="n">
        <x:f t="shared" si="2"/>
        <x:v>0.19389288047028086</x:v>
      </x:c>
      <x:c r="J8" s="65" t="n">
        <x:v>1038.4</x:v>
      </x:c>
      <x:c r="K8" s="65" t="n">
        <x:v>1246.8</x:v>
      </x:c>
      <x:c r="L8" s="66" t="n">
        <x:f t="shared" si="3"/>
        <x:v>0.20069337442218782</x:v>
      </x:c>
      <x:c r="M8" s="66" t="n">
        <x:v>0.894374663299664</x:v>
      </x:c>
      <x:c r="N8" s="66" t="n">
        <x:v>0.890061111111111</x:v>
      </x:c>
      <x:c r="O8" s="66" t="n">
        <x:f t="shared" si="4"/>
        <x:v>-0.004313552188553005</x:v>
      </x:c>
    </x:row>
    <x:row r="9">
      <x:c r="A9" s="59" t="str">
        <x:v>台北市</x:v>
      </x:c>
      <x:c r="B9" s="60" t="str">
        <x:v>松山區</x:v>
      </x:c>
      <x:c r="C9" s="61" t="n">
        <x:v>1588</x:v>
      </x:c>
      <x:c r="D9" s="61" t="n">
        <x:v>1810</x:v>
      </x:c>
      <x:c r="E9" s="61" t="n">
        <x:f t="shared" si="0"/>
        <x:v>222</x:v>
      </x:c>
      <x:c r="F9" s="62" t="n">
        <x:f t="shared" si="1"/>
        <x:v>0.1397984886649874</x:v>
      </x:c>
      <x:c r="G9" s="61" t="n">
        <x:v>20135</x:v>
      </x:c>
      <x:c r="H9" s="61" t="n">
        <x:v>25338</x:v>
      </x:c>
      <x:c r="I9" s="62" t="n">
        <x:f t="shared" si="2"/>
        <x:v>0.2584057611124907</x:v>
      </x:c>
      <x:c r="J9" s="61" t="n">
        <x:v>1963.3</x:v>
      </x:c>
      <x:c r="K9" s="61" t="n">
        <x:v>2413.6</x:v>
      </x:c>
      <x:c r="L9" s="62" t="n">
        <x:f t="shared" si="3"/>
        <x:v>0.229358732745887</x:v>
      </x:c>
      <x:c r="M9" s="62" t="n">
        <x:v>0.867704671717172</x:v>
      </x:c>
      <x:c r="N9" s="62" t="n">
        <x:v>0.854814259259259</x:v>
      </x:c>
      <x:c r="O9" s="62" t="n">
        <x:f t="shared" si="4"/>
        <x:v>-0.012890412457913003</x:v>
      </x:c>
    </x:row>
    <x:row r="10">
      <x:c r="A10" s="63" t="str">
        <x:v>台北市</x:v>
      </x:c>
      <x:c r="B10" s="64" t="str">
        <x:v>大安區</x:v>
      </x:c>
      <x:c r="C10" s="65" t="n">
        <x:v>2907</x:v>
      </x:c>
      <x:c r="D10" s="65" t="n">
        <x:v>3705</x:v>
      </x:c>
      <x:c r="E10" s="65" t="n">
        <x:f t="shared" si="0"/>
        <x:v>798</x:v>
      </x:c>
      <x:c r="F10" s="66" t="n">
        <x:f t="shared" si="1"/>
        <x:v>0.27450980392156865</x:v>
      </x:c>
      <x:c r="G10" s="65" t="n">
        <x:v>54181</x:v>
      </x:c>
      <x:c r="H10" s="65" t="n">
        <x:v>59246</x:v>
      </x:c>
      <x:c r="I10" s="66" t="n">
        <x:f t="shared" si="2"/>
        <x:v>0.09348295527952603</x:v>
      </x:c>
      <x:c r="J10" s="65" t="n">
        <x:v>7095.9</x:v>
      </x:c>
      <x:c r="K10" s="65" t="n">
        <x:v>7279.6</x:v>
      </x:c>
      <x:c r="L10" s="66" t="n">
        <x:f t="shared" si="3"/>
        <x:v>0.025888188954184915</x:v>
      </x:c>
      <x:c r="M10" s="66" t="n">
        <x:v>0.851743722943723</x:v>
      </x:c>
      <x:c r="N10" s="66" t="n">
        <x:v>0.922168888888889</x:v>
      </x:c>
      <x:c r="O10" s="66" t="n">
        <x:f t="shared" si="4"/>
        <x:v>0.07042516594516601</x:v>
      </x:c>
    </x:row>
    <x:row r="11">
      <x:c r="A11" s="59" t="str">
        <x:v>台北市</x:v>
      </x:c>
      <x:c r="B11" s="60" t="str">
        <x:v>內湖區</x:v>
      </x:c>
      <x:c r="C11" s="61" t="n">
        <x:v>2123</x:v>
      </x:c>
      <x:c r="D11" s="61" t="n">
        <x:v>2156</x:v>
      </x:c>
      <x:c r="E11" s="61" t="n">
        <x:f t="shared" si="0"/>
        <x:v>33</x:v>
      </x:c>
      <x:c r="F11" s="62" t="n">
        <x:f t="shared" si="1"/>
        <x:v>0.015544041450777202</x:v>
      </x:c>
      <x:c r="G11" s="61" t="n">
        <x:v>14655</x:v>
      </x:c>
      <x:c r="H11" s="61" t="n">
        <x:v>19173</x:v>
      </x:c>
      <x:c r="I11" s="62" t="n">
        <x:f t="shared" si="2"/>
        <x:v>0.3082906857727738</x:v>
      </x:c>
      <x:c r="J11" s="61" t="n">
        <x:v>1448.7</x:v>
      </x:c>
      <x:c r="K11" s="61" t="n">
        <x:v>1765.4</x:v>
      </x:c>
      <x:c r="L11" s="62" t="n">
        <x:f t="shared" si="3"/>
        <x:v>0.21860978808587012</x:v>
      </x:c>
      <x:c r="M11" s="62" t="n">
        <x:v>0.864207878787879</x:v>
      </x:c>
      <x:c r="N11" s="62" t="n">
        <x:v>0.870516888888889</x:v>
      </x:c>
      <x:c r="O11" s="62" t="n">
        <x:f t="shared" si="4"/>
        <x:v>0.0063090101010100375</x:v>
      </x:c>
    </x:row>
    <x:row r="12">
      <x:c r="A12" s="63" t="str">
        <x:v>台北市</x:v>
      </x:c>
      <x:c r="B12" s="64" t="str">
        <x:v>南港區</x:v>
      </x:c>
      <x:c r="C12" s="65" t="n">
        <x:v>1351</x:v>
      </x:c>
      <x:c r="D12" s="65" t="n">
        <x:v>1481</x:v>
      </x:c>
      <x:c r="E12" s="65" t="n">
        <x:f t="shared" si="0"/>
        <x:v>130</x:v>
      </x:c>
      <x:c r="F12" s="66" t="n">
        <x:f t="shared" si="1"/>
        <x:v>0.09622501850481126</x:v>
      </x:c>
      <x:c r="G12" s="65" t="n">
        <x:v>10759</x:v>
      </x:c>
      <x:c r="H12" s="65" t="n">
        <x:v>14848</x:v>
      </x:c>
      <x:c r="I12" s="66" t="n">
        <x:f t="shared" si="2"/>
        <x:v>0.38005390835579517</x:v>
      </x:c>
      <x:c r="J12" s="65" t="n">
        <x:v>378.6</x:v>
      </x:c>
      <x:c r="K12" s="65" t="n">
        <x:v>471.4</x:v>
      </x:c>
      <x:c r="L12" s="66" t="n">
        <x:f t="shared" si="3"/>
        <x:v>0.24511357633386147</x:v>
      </x:c>
      <x:c r="M12" s="66" t="n">
        <x:v>0.896968686868687</x:v>
      </x:c>
      <x:c r="N12" s="66" t="n">
        <x:v>0.892223333333334</x:v>
      </x:c>
      <x:c r="O12" s="66" t="n">
        <x:f t="shared" si="4"/>
        <x:v>-0.004745353535352992</x:v>
      </x:c>
    </x:row>
    <x:row r="13">
      <x:c r="A13" s="59" t="str">
        <x:v>台北市</x:v>
      </x:c>
      <x:c r="B13" s="60" t="str">
        <x:v>中正區</x:v>
      </x:c>
      <x:c r="C13" s="61" t="n">
        <x:v>1593</x:v>
      </x:c>
      <x:c r="D13" s="61" t="n">
        <x:v>2301</x:v>
      </x:c>
      <x:c r="E13" s="61" t="n">
        <x:f t="shared" si="0"/>
        <x:v>708</x:v>
      </x:c>
      <x:c r="F13" s="62" t="n">
        <x:f t="shared" si="1"/>
        <x:v>0.4444444444444444</x:v>
      </x:c>
      <x:c r="G13" s="61" t="n">
        <x:v>24102</x:v>
      </x:c>
      <x:c r="H13" s="61" t="n">
        <x:v>27631</x:v>
      </x:c>
      <x:c r="I13" s="62" t="n">
        <x:f t="shared" si="2"/>
        <x:v>0.14641938428346196</x:v>
      </x:c>
      <x:c r="J13" s="61" t="n">
        <x:v>1297.4</x:v>
      </x:c>
      <x:c r="K13" s="61" t="n">
        <x:v>1437</x:v>
      </x:c>
      <x:c r="L13" s="62" t="n">
        <x:f t="shared" si="3"/>
        <x:v>0.10759981501464459</x:v>
      </x:c>
      <x:c r="M13" s="62" t="n">
        <x:v>0.843781755050505</x:v>
      </x:c>
      <x:c r="N13" s="62" t="n">
        <x:v>0.923240555555556</x:v>
      </x:c>
      <x:c r="O13" s="62" t="n">
        <x:f t="shared" si="4"/>
        <x:v>0.07945880050505094</x:v>
      </x:c>
    </x:row>
    <x:row r="14">
      <x:c r="A14" s="63" t="str">
        <x:v>台北市</x:v>
      </x:c>
      <x:c r="B14" s="64" t="str">
        <x:v>萬華區</x:v>
      </x:c>
      <x:c r="C14" s="65" t="n">
        <x:v>1758</x:v>
      </x:c>
      <x:c r="D14" s="65" t="n">
        <x:v>1190</x:v>
      </x:c>
      <x:c r="E14" s="65" t="n">
        <x:f t="shared" si="0"/>
        <x:v>-568</x:v>
      </x:c>
      <x:c r="F14" s="66" t="n">
        <x:f t="shared" si="1"/>
        <x:v>-0.323094425483504</x:v>
      </x:c>
      <x:c r="G14" s="65" t="n">
        <x:v>11176</x:v>
      </x:c>
      <x:c r="H14" s="65" t="n">
        <x:v>13730</x:v>
      </x:c>
      <x:c r="I14" s="66" t="n">
        <x:f t="shared" si="2"/>
        <x:v>0.22852541159627773</x:v>
      </x:c>
      <x:c r="J14" s="65" t="n">
        <x:v>1007.1</x:v>
      </x:c>
      <x:c r="K14" s="65" t="n">
        <x:v>1389.2</x:v>
      </x:c>
      <x:c r="L14" s="66" t="n">
        <x:f t="shared" si="3"/>
        <x:v>0.3794062158673419</x:v>
      </x:c>
      <x:c r="M14" s="66" t="n">
        <x:v>0.835282912457913</x:v>
      </x:c>
      <x:c r="N14" s="66" t="n">
        <x:v>0.870616296296296</x:v>
      </x:c>
      <x:c r="O14" s="66" t="n">
        <x:f t="shared" si="4"/>
        <x:v>0.035333383838383026</x:v>
      </x:c>
    </x:row>
    <x:row r="15">
      <x:c r="A15" s="59" t="str">
        <x:v>台北市</x:v>
      </x:c>
      <x:c r="B15" s="60" t="str">
        <x:v>士林區</x:v>
      </x:c>
      <x:c r="C15" s="61" t="n">
        <x:v>2042</x:v>
      </x:c>
      <x:c r="D15" s="61" t="n">
        <x:v>1532</x:v>
      </x:c>
      <x:c r="E15" s="61" t="n">
        <x:f t="shared" si="0"/>
        <x:v>-510</x:v>
      </x:c>
      <x:c r="F15" s="62" t="n">
        <x:f t="shared" si="1"/>
        <x:v>-0.24975514201762977</x:v>
      </x:c>
      <x:c r="G15" s="61" t="n">
        <x:v>14868</x:v>
      </x:c>
      <x:c r="H15" s="61" t="n">
        <x:v>17299</x:v>
      </x:c>
      <x:c r="I15" s="62" t="n">
        <x:f t="shared" si="2"/>
        <x:v>0.16350551520043047</x:v>
      </x:c>
      <x:c r="J15" s="61" t="n">
        <x:v>476.7</x:v>
      </x:c>
      <x:c r="K15" s="61" t="n">
        <x:v>580.4</x:v>
      </x:c>
      <x:c r="L15" s="62" t="n">
        <x:f t="shared" si="3"/>
        <x:v>0.21753723515838053</x:v>
      </x:c>
      <x:c r="M15" s="62" t="n">
        <x:v>0.897516919191919</x:v>
      </x:c>
      <x:c r="N15" s="62" t="n">
        <x:v>0.960741111111111</x:v>
      </x:c>
      <x:c r="O15" s="62" t="n">
        <x:f t="shared" si="4"/>
        <x:v>0.06322419191919204</x:v>
      </x:c>
    </x:row>
    <x:row r="16">
      <x:c r="A16" s="63" t="str">
        <x:v>台北市</x:v>
      </x:c>
      <x:c r="B16" s="64" t="str">
        <x:v>文山區</x:v>
      </x:c>
      <x:c r="C16" s="65" t="n">
        <x:v>1522</x:v>
      </x:c>
      <x:c r="D16" s="65" t="n">
        <x:v>1201</x:v>
      </x:c>
      <x:c r="E16" s="65" t="n">
        <x:f t="shared" si="0"/>
        <x:v>-321</x:v>
      </x:c>
      <x:c r="F16" s="66" t="n">
        <x:f t="shared" si="1"/>
        <x:v>-0.21090670170827858</x:v>
      </x:c>
      <x:c r="G16" s="65" t="n">
        <x:v>9150</x:v>
      </x:c>
      <x:c r="H16" s="65" t="n">
        <x:v>11202</x:v>
      </x:c>
      <x:c r="I16" s="66" t="n">
        <x:f t="shared" si="2"/>
        <x:v>0.2242622950819672</x:v>
      </x:c>
      <x:c r="J16" s="65" t="n">
        <x:v>549.9</x:v>
      </x:c>
      <x:c r="K16" s="65" t="n">
        <x:v>725.2</x:v>
      </x:c>
      <x:c r="L16" s="66" t="n">
        <x:f t="shared" si="3"/>
        <x:v>0.3187852336788508</x:v>
      </x:c>
      <x:c r="M16" s="66" t="n">
        <x:v>0.868814141414142</x:v>
      </x:c>
      <x:c r="N16" s="66" t="n">
        <x:v>0.895647222222222</x:v>
      </x:c>
      <x:c r="O16" s="66" t="n">
        <x:f t="shared" si="4"/>
        <x:v>0.02683308080808</x:v>
      </x:c>
    </x:row>
    <x:row r="17">
      <x:c r="A17" s="59" t="str">
        <x:v>新北市</x:v>
      </x:c>
      <x:c r="B17" s="60" t="str">
        <x:v>板橋區</x:v>
      </x:c>
      <x:c r="C17" s="61" t="n">
        <x:v>3273</x:v>
      </x:c>
      <x:c r="D17" s="61" t="n">
        <x:v>4801</x:v>
      </x:c>
      <x:c r="E17" s="61" t="n">
        <x:f t="shared" si="0"/>
        <x:v>1528</x:v>
      </x:c>
      <x:c r="F17" s="62" t="n">
        <x:f t="shared" si="1"/>
        <x:v>0.46684998472349526</x:v>
      </x:c>
      <x:c r="G17" s="61" t="n">
        <x:v>28385</x:v>
      </x:c>
      <x:c r="H17" s="61" t="n">
        <x:v>33638</x:v>
      </x:c>
      <x:c r="I17" s="62" t="n">
        <x:f t="shared" si="2"/>
        <x:v>0.18506253302800776</x:v>
      </x:c>
      <x:c r="J17" s="61" t="n">
        <x:v>15028.8</x:v>
      </x:c>
      <x:c r="K17" s="61" t="n">
        <x:v>17355.4</x:v>
      </x:c>
      <x:c r="L17" s="62" t="n">
        <x:f t="shared" si="3"/>
        <x:v>0.154809432556159</x:v>
      </x:c>
      <x:c r="M17" s="62" t="n">
        <x:v>0.849951369327074</x:v>
      </x:c>
      <x:c r="N17" s="62" t="n">
        <x:v>0.849058247261346</x:v>
      </x:c>
      <x:c r="O17" s="62" t="n">
        <x:f t="shared" si="4"/>
        <x:v>-0.0008931220657280026</x:v>
      </x:c>
    </x:row>
    <x:row r="18">
      <x:c r="A18" s="63" t="str">
        <x:v>新北市</x:v>
      </x:c>
      <x:c r="B18" s="64" t="str">
        <x:v>新莊區</x:v>
      </x:c>
      <x:c r="C18" s="65" t="n">
        <x:v>2091</x:v>
      </x:c>
      <x:c r="D18" s="65" t="n">
        <x:v>2101</x:v>
      </x:c>
      <x:c r="E18" s="65" t="n">
        <x:f t="shared" si="0"/>
        <x:v>10</x:v>
      </x:c>
      <x:c r="F18" s="66" t="n">
        <x:f t="shared" si="1"/>
        <x:v>0.004782400765184123</x:v>
      </x:c>
      <x:c r="G18" s="65" t="n">
        <x:v>15338</x:v>
      </x:c>
      <x:c r="H18" s="65" t="n">
        <x:v>18920</x:v>
      </x:c>
      <x:c r="I18" s="66" t="n">
        <x:f t="shared" si="2"/>
        <x:v>0.23353761898552614</x:v>
      </x:c>
      <x:c r="J18" s="65" t="n">
        <x:v>3155.6</x:v>
      </x:c>
      <x:c r="K18" s="65" t="n">
        <x:v>3921.4</x:v>
      </x:c>
      <x:c r="L18" s="66" t="n">
        <x:f t="shared" si="3"/>
        <x:v>0.2426796805678794</x:v>
      </x:c>
      <x:c r="M18" s="66" t="n">
        <x:v>0.869597916666667</x:v>
      </x:c>
      <x:c r="N18" s="66" t="n">
        <x:v>0.91748</x:v>
      </x:c>
      <x:c r="O18" s="66" t="n">
        <x:f t="shared" si="4"/>
        <x:v>0.04788208333333299</x:v>
      </x:c>
    </x:row>
    <x:row r="19">
      <x:c r="A19" s="59" t="str">
        <x:v>新北市</x:v>
      </x:c>
      <x:c r="B19" s="60" t="str">
        <x:v>新店區</x:v>
      </x:c>
      <x:c r="C19" s="61" t="n">
        <x:v>1578</x:v>
      </x:c>
      <x:c r="D19" s="61" t="n">
        <x:v>1902</x:v>
      </x:c>
      <x:c r="E19" s="61" t="n">
        <x:f t="shared" si="0"/>
        <x:v>324</x:v>
      </x:c>
      <x:c r="F19" s="62" t="n">
        <x:f t="shared" si="1"/>
        <x:v>0.20532319391634982</x:v>
      </x:c>
      <x:c r="G19" s="61" t="n">
        <x:v>11019</x:v>
      </x:c>
      <x:c r="H19" s="61" t="n">
        <x:v>13758</x:v>
      </x:c>
      <x:c r="I19" s="62" t="n">
        <x:f t="shared" si="2"/>
        <x:v>0.24857065069425538</x:v>
      </x:c>
      <x:c r="J19" s="61" t="n">
        <x:v>2438</x:v>
      </x:c>
      <x:c r="K19" s="61" t="n">
        <x:v>2930.6</x:v>
      </x:c>
      <x:c r="L19" s="62" t="n">
        <x:f t="shared" si="3"/>
        <x:v>0.20205086136177192</x:v>
      </x:c>
      <x:c r="M19" s="62" t="n">
        <x:v>0.848484627525253</x:v>
      </x:c>
      <x:c r="N19" s="62" t="n">
        <x:v>0.874930833333333</x:v>
      </x:c>
      <x:c r="O19" s="62" t="n">
        <x:f t="shared" si="4"/>
        <x:v>0.026446205808079992</x:v>
      </x:c>
    </x:row>
    <x:row r="20">
      <x:c r="A20" s="63" t="str">
        <x:v>新北市</x:v>
      </x:c>
      <x:c r="B20" s="64" t="str">
        <x:v>中和區</x:v>
      </x:c>
      <x:c r="C20" s="65" t="n">
        <x:v>2027</x:v>
      </x:c>
      <x:c r="D20" s="65" t="n">
        <x:v>1994</x:v>
      </x:c>
      <x:c r="E20" s="65" t="n">
        <x:f t="shared" si="0"/>
        <x:v>-33</x:v>
      </x:c>
      <x:c r="F20" s="66" t="n">
        <x:f t="shared" si="1"/>
        <x:v>-0.016280217069560926</x:v>
      </x:c>
      <x:c r="G20" s="65" t="n">
        <x:v>12703</x:v>
      </x:c>
      <x:c r="H20" s="65" t="n">
        <x:v>15260</x:v>
      </x:c>
      <x:c r="I20" s="66" t="n">
        <x:f t="shared" si="2"/>
        <x:v>0.2012910336141069</x:v>
      </x:c>
      <x:c r="J20" s="65" t="n">
        <x:v>513.4</x:v>
      </x:c>
      <x:c r="K20" s="65" t="n">
        <x:v>517.4</x:v>
      </x:c>
      <x:c r="L20" s="66" t="n">
        <x:f t="shared" si="3"/>
        <x:v>0.0077911959485781074</x:v>
      </x:c>
      <x:c r="M20" s="66" t="n">
        <x:v>0.890151767676768</x:v>
      </x:c>
      <x:c r="N20" s="66" t="n">
        <x:v>0.836482962962963</x:v>
      </x:c>
      <x:c r="O20" s="66" t="n">
        <x:f t="shared" si="4"/>
        <x:v>-0.053668804713804974</x:v>
      </x:c>
    </x:row>
    <x:row r="21">
      <x:c r="A21" s="59" t="str">
        <x:v>新北市</x:v>
      </x:c>
      <x:c r="B21" s="60" t="str">
        <x:v>林口區</x:v>
      </x:c>
      <x:c r="C21" s="61" t="n">
        <x:v>1154</x:v>
      </x:c>
      <x:c r="D21" s="61" t="n">
        <x:v>988</x:v>
      </x:c>
      <x:c r="E21" s="61" t="n">
        <x:f t="shared" si="0"/>
        <x:v>-166</x:v>
      </x:c>
      <x:c r="F21" s="62" t="n">
        <x:f t="shared" si="1"/>
        <x:v>-0.1438474870017331</x:v>
      </x:c>
      <x:c r="G21" s="61" t="n">
        <x:v>6832</x:v>
      </x:c>
      <x:c r="H21" s="61" t="n">
        <x:v>9189</x:v>
      </x:c>
      <x:c r="I21" s="62" t="n">
        <x:f t="shared" si="2"/>
        <x:v>0.34499414519906324</x:v>
      </x:c>
      <x:c r="J21" s="61" t="n">
        <x:v>829.3</x:v>
      </x:c>
      <x:c r="K21" s="61" t="n">
        <x:v>1110.6</x:v>
      </x:c>
      <x:c r="L21" s="62" t="n">
        <x:f t="shared" si="3"/>
        <x:v>0.33920173640419626</x:v>
      </x:c>
      <x:c r="M21" s="62" t="n">
        <x:v>0.866607676767677</x:v>
      </x:c>
      <x:c r="N21" s="62" t="n">
        <x:v>0.962148666666667</x:v>
      </x:c>
      <x:c r="O21" s="62" t="n">
        <x:f t="shared" si="4"/>
        <x:v>0.09554098989898996</x:v>
      </x:c>
    </x:row>
    <x:row r="22">
      <x:c r="A22" s="63" t="str">
        <x:v>新北市</x:v>
      </x:c>
      <x:c r="B22" s="64" t="str">
        <x:v>淡水區</x:v>
      </x:c>
      <x:c r="C22" s="65" t="n">
        <x:v>1056</x:v>
      </x:c>
      <x:c r="D22" s="65" t="n">
        <x:v>778</x:v>
      </x:c>
      <x:c r="E22" s="65" t="n">
        <x:f t="shared" si="0"/>
        <x:v>-278</x:v>
      </x:c>
      <x:c r="F22" s="66" t="n">
        <x:f t="shared" si="1"/>
        <x:v>-0.26325757575757575</x:v>
      </x:c>
      <x:c r="G22" s="65" t="n">
        <x:v>3927</x:v>
      </x:c>
      <x:c r="H22" s="65" t="n">
        <x:v>6147</x:v>
      </x:c>
      <x:c r="I22" s="66" t="n">
        <x:f t="shared" si="2"/>
        <x:v>0.5653170359052712</x:v>
      </x:c>
      <x:c r="J22" s="65" t="n">
        <x:v>326.8</x:v>
      </x:c>
      <x:c r="K22" s="65" t="n">
        <x:v>315.2</x:v>
      </x:c>
      <x:c r="L22" s="66" t="n">
        <x:f t="shared" si="3"/>
        <x:v>-0.0354957160342718</x:v>
      </x:c>
      <x:c r="M22" s="66" t="n">
        <x:v>0.870523821548821</x:v>
      </x:c>
      <x:c r="N22" s="66" t="n">
        <x:v>0.900925925925926</x:v>
      </x:c>
      <x:c r="O22" s="66" t="n">
        <x:f t="shared" si="4"/>
        <x:v>0.030402104377105</x:v>
      </x:c>
    </x:row>
    <x:row r="23">
      <x:c r="A23" s="59" t="str">
        <x:v>新北市</x:v>
      </x:c>
      <x:c r="B23" s="60" t="str">
        <x:v>三重區</x:v>
      </x:c>
      <x:c r="C23" s="61" t="n">
        <x:v>1984</x:v>
      </x:c>
      <x:c r="D23" s="61" t="n">
        <x:v>2045</x:v>
      </x:c>
      <x:c r="E23" s="61" t="n">
        <x:f t="shared" si="0"/>
        <x:v>61</x:v>
      </x:c>
      <x:c r="F23" s="62" t="n">
        <x:f t="shared" si="1"/>
        <x:v>0.030745967741935484</x:v>
      </x:c>
      <x:c r="G23" s="61" t="n">
        <x:v>13659</x:v>
      </x:c>
      <x:c r="H23" s="61" t="n">
        <x:v>15762</x:v>
      </x:c>
      <x:c r="I23" s="62" t="n">
        <x:f t="shared" si="2"/>
        <x:v>0.15396441906435318</x:v>
      </x:c>
      <x:c r="J23" s="61" t="n">
        <x:v>1955.9</x:v>
      </x:c>
      <x:c r="K23" s="61" t="n">
        <x:v>2221.6</x:v>
      </x:c>
      <x:c r="L23" s="62" t="n">
        <x:f t="shared" si="3"/>
        <x:v>0.13584539086865371</x:v>
      </x:c>
      <x:c r="M23" s="62" t="n">
        <x:v>0.860448126691754</x:v>
      </x:c>
      <x:c r="N23" s="62" t="n">
        <x:v>0.867592839506173</x:v>
      </x:c>
      <x:c r="O23" s="62" t="n">
        <x:f t="shared" si="4"/>
        <x:v>0.007144712814419085</x:v>
      </x:c>
    </x:row>
    <x:row r="24">
      <x:c r="A24" s="63" t="str">
        <x:v>新北市</x:v>
      </x:c>
      <x:c r="B24" s="64" t="str">
        <x:v>永和區</x:v>
      </x:c>
      <x:c r="C24" s="65" t="n">
        <x:v>918</x:v>
      </x:c>
      <x:c r="D24" s="65" t="n">
        <x:v>912</x:v>
      </x:c>
      <x:c r="E24" s="65" t="n">
        <x:f t="shared" si="0"/>
        <x:v>-6</x:v>
      </x:c>
      <x:c r="F24" s="66" t="n">
        <x:f t="shared" si="1"/>
        <x:v>-0.006535947712418301</x:v>
      </x:c>
      <x:c r="G24" s="65" t="n">
        <x:v>7013</x:v>
      </x:c>
      <x:c r="H24" s="65" t="n">
        <x:v>8552</x:v>
      </x:c>
      <x:c r="I24" s="66" t="n">
        <x:f t="shared" si="2"/>
        <x:v>0.21944959361186367</x:v>
      </x:c>
      <x:c r="J24" s="65" t="n">
        <x:v>2759.2</x:v>
      </x:c>
      <x:c r="K24" s="65" t="n">
        <x:v>3228.6</x:v>
      </x:c>
      <x:c r="L24" s="66" t="n">
        <x:f t="shared" si="3"/>
        <x:v>0.1701217744273703</x:v>
      </x:c>
      <x:c r="M24" s="66" t="n">
        <x:v>0.834267892385392</x:v>
      </x:c>
      <x:c r="N24" s="66" t="n">
        <x:v>0.845825299145299</x:v>
      </x:c>
      <x:c r="O24" s="66" t="n">
        <x:f t="shared" si="4"/>
        <x:v>0.011557406759907018</x:v>
      </x:c>
    </x:row>
    <x:row r="25">
      <x:c r="A25" s="59" t="str">
        <x:v>新北市</x:v>
      </x:c>
      <x:c r="B25" s="60" t="str">
        <x:v>土城區</x:v>
      </x:c>
      <x:c r="C25" s="61" t="n">
        <x:v>1725</x:v>
      </x:c>
      <x:c r="D25" s="61" t="n">
        <x:v>1654</x:v>
      </x:c>
      <x:c r="E25" s="61" t="n">
        <x:f t="shared" si="0"/>
        <x:v>-71</x:v>
      </x:c>
      <x:c r="F25" s="62" t="n">
        <x:f t="shared" si="1"/>
        <x:v>-0.04115942028985507</x:v>
      </x:c>
      <x:c r="G25" s="61" t="n">
        <x:v>9118</x:v>
      </x:c>
      <x:c r="H25" s="61" t="n">
        <x:v>10612</x:v>
      </x:c>
      <x:c r="I25" s="62" t="n">
        <x:f t="shared" si="2"/>
        <x:v>0.16385172186883087</x:v>
      </x:c>
      <x:c r="J25" s="61" t="n">
        <x:v>1654.5</x:v>
      </x:c>
      <x:c r="K25" s="61" t="n">
        <x:v>1794</x:v>
      </x:c>
      <x:c r="L25" s="62" t="n">
        <x:f t="shared" si="3"/>
        <x:v>0.0843155031731641</x:v>
      </x:c>
      <x:c r="M25" s="62" t="n">
        <x:v>0.854940119949495</x:v>
      </x:c>
      <x:c r="N25" s="62" t="n">
        <x:v>0.806388055555556</x:v>
      </x:c>
      <x:c r="O25" s="62" t="n">
        <x:f t="shared" si="4"/>
        <x:v>-0.048552064393939</x:v>
      </x:c>
    </x:row>
    <x:row r="26">
      <x:c r="A26" s="63" t="str">
        <x:v>新北市</x:v>
      </x:c>
      <x:c r="B26" s="64" t="str">
        <x:v>三峽區</x:v>
      </x:c>
      <x:c r="C26" s="65" t="n">
        <x:v>824</x:v>
      </x:c>
      <x:c r="D26" s="65" t="n">
        <x:v>852</x:v>
      </x:c>
      <x:c r="E26" s="65" t="n">
        <x:f t="shared" si="0"/>
        <x:v>28</x:v>
      </x:c>
      <x:c r="F26" s="66" t="n">
        <x:f t="shared" si="1"/>
        <x:v>0.03398058252427184</x:v>
      </x:c>
      <x:c r="G26" s="65" t="n">
        <x:v>4655</x:v>
      </x:c>
      <x:c r="H26" s="65" t="n">
        <x:v>6048</x:v>
      </x:c>
      <x:c r="I26" s="66" t="n">
        <x:f t="shared" si="2"/>
        <x:v>0.2992481203007519</x:v>
      </x:c>
      <x:c r="J26" s="65" t="n">
        <x:v>182.7</x:v>
      </x:c>
      <x:c r="K26" s="65" t="n">
        <x:v>217.6</x:v>
      </x:c>
      <x:c r="L26" s="66" t="n">
        <x:f t="shared" si="3"/>
        <x:v>0.1910235358511221</x:v>
      </x:c>
      <x:c r="M26" s="66" t="n">
        <x:v>0.885647474747475</x:v>
      </x:c>
      <x:c r="N26" s="66" t="n">
        <x:v>0.942777777777778</x:v>
      </x:c>
      <x:c r="O26" s="66" t="n">
        <x:f t="shared" si="4"/>
        <x:v>0.05713030303030309</x:v>
      </x:c>
    </x:row>
    <x:row r="27">
      <x:c r="A27" s="59" t="str">
        <x:v>新北市</x:v>
      </x:c>
      <x:c r="B27" s="60" t="str">
        <x:v>蘆洲區</x:v>
      </x:c>
      <x:c r="C27" s="61" t="n">
        <x:v>1061</x:v>
      </x:c>
      <x:c r="D27" s="61" t="n">
        <x:v>645</x:v>
      </x:c>
      <x:c r="E27" s="61" t="n">
        <x:f t="shared" si="0"/>
        <x:v>-416</x:v>
      </x:c>
      <x:c r="F27" s="62" t="n">
        <x:f t="shared" si="1"/>
        <x:v>-0.3920829406220547</x:v>
      </x:c>
      <x:c r="G27" s="61" t="n">
        <x:v>5909</x:v>
      </x:c>
      <x:c r="H27" s="61" t="n">
        <x:v>6813</x:v>
      </x:c>
      <x:c r="I27" s="62" t="n">
        <x:f t="shared" si="2"/>
        <x:v>0.15298696903029277</x:v>
      </x:c>
      <x:c r="J27" s="61" t="n">
        <x:v>537.3</x:v>
      </x:c>
      <x:c r="K27" s="61" t="n">
        <x:v>592</x:v>
      </x:c>
      <x:c r="L27" s="62" t="n">
        <x:f t="shared" si="3"/>
        <x:v>0.10180532291085065</x:v>
      </x:c>
      <x:c r="M27" s="62" t="n">
        <x:v>0.866077272727273</x:v>
      </x:c>
      <x:c r="N27" s="62" t="n">
        <x:v>0.852588888888889</x:v>
      </x:c>
      <x:c r="O27" s="62" t="n">
        <x:f t="shared" si="4"/>
        <x:v>-0.013488383838384022</x:v>
      </x:c>
    </x:row>
    <x:row r="28">
      <x:c r="A28" s="63" t="str">
        <x:v>新北市</x:v>
      </x:c>
      <x:c r="B28" s="64" t="str">
        <x:v>鶯歌區</x:v>
      </x:c>
      <x:c r="C28" s="65" t="n">
        <x:v>735</x:v>
      </x:c>
      <x:c r="D28" s="65" t="n">
        <x:v>614</x:v>
      </x:c>
      <x:c r="E28" s="65" t="n">
        <x:f t="shared" si="0"/>
        <x:v>-121</x:v>
      </x:c>
      <x:c r="F28" s="66" t="n">
        <x:f t="shared" si="1"/>
        <x:v>-0.16462585034013605</x:v>
      </x:c>
      <x:c r="G28" s="65" t="n">
        <x:v>1840</x:v>
      </x:c>
      <x:c r="H28" s="65" t="n">
        <x:v>2565</x:v>
      </x:c>
      <x:c r="I28" s="66" t="n">
        <x:f t="shared" si="2"/>
        <x:v>0.39402173913043476</x:v>
      </x:c>
      <x:c r="J28" s="65" t="n">
        <x:v>278.9</x:v>
      </x:c>
      <x:c r="K28" s="65"/>
      <x:c r="L28" s="66" t="n">
        <x:f t="shared" si="3"/>
        <x:v>-1</x:v>
      </x:c>
      <x:c r="M28" s="66" t="n">
        <x:v>0.890194191919192</x:v>
      </x:c>
      <x:c r="N28" s="66"/>
      <x:c r="O28" s="66">
        <x:f t="shared" si="4"/>
      </x:c>
    </x:row>
    <x:row r="29">
      <x:c r="A29" s="75" t="s">
        <x:v>78</x:v>
      </x:c>
      <x:c r="B29" s="75"/>
      <x:c r="C29" s="67" t="n">
        <x:f>SUM(C7:C28)</x:f>
        <x:v>38261</x:v>
      </x:c>
      <x:c r="D29" s="67" t="n">
        <x:f>SUM(D7:D28)</x:f>
        <x:v>40255</x:v>
      </x:c>
      <x:c r="E29" s="67" t="n">
        <x:f>D29-C29</x:f>
        <x:v>1994</x:v>
      </x:c>
      <x:c r="F29" s="68" t="n">
        <x:f>IFERROR((D29-C29)/C29,"")</x:f>
        <x:v>0.052115731423642876</x:v>
      </x:c>
      <x:c r="G29" s="67" t="n">
        <x:f>SUM(G7:G28)</x:f>
        <x:v>337101</x:v>
      </x:c>
      <x:c r="H29" s="67" t="n">
        <x:f>SUM(H7:H28)</x:f>
        <x:v>406018</x:v>
      </x:c>
      <x:c r="I29" s="68">
        <x:f t="shared" si="2"/>
        <x:v>0.20444021228059248</x:v>
      </x:c>
      <x:c r="J29" s="67" t="n">
        <x:f>SUM(J7:J28)</x:f>
        <x:v>47247.600000000006</x:v>
      </x:c>
      <x:c r="K29" s="67" t="n">
        <x:f>SUM(K7:K28)</x:f>
        <x:v>54433.99999999999</x:v>
      </x:c>
      <x:c r="L29" s="68">
        <x:f t="shared" si="3"/>
        <x:v>0.15210084745045238</x:v>
      </x:c>
      <x:c r="M29" s="68" t="n">
        <x:f>AVERAGE(M7:M28)</x:f>
        <x:v>0.8672755674273556</x:v>
      </x:c>
      <x:c r="N29" s="68" t="n">
        <x:f>AVERAGE(N7:N28)</x:f>
        <x:v>0.8873314747260072</x:v>
      </x:c>
      <x:c r="O29" s="68" t="n">
        <x:f>N29-M29</x:f>
        <x:v>0.020055907298651587</x:v>
      </x:c>
    </x:row>
  </x:sheetData>
  <x:mergeCells>
    <x:mergeCell ref="A29:B29"/>
    <x:mergeCell ref="A1:O1"/>
    <x:mergeCell ref="A2:O2"/>
    <x:mergeCell ref="A3:O3"/>
    <x:mergeCell ref="A4:O4"/>
    <x:mergeCell ref="A5:A6"/>
    <x:mergeCell ref="B5:B6"/>
    <x:mergeCell ref="C5:F5"/>
    <x:mergeCell ref="G5:I5"/>
    <x:mergeCell ref="J5:L5"/>
    <x:mergeCell ref="M5:O5"/>
  </x:mergeCells>
  <x:conditionalFormatting sqref="F7:F28">
    <x:cfRule type="cellIs" dxfId="5" priority="4" operator="lessThan">
      <x:formula>0</x:formula>
    </x:cfRule>
  </x:conditionalFormatting>
  <x:conditionalFormatting sqref="I7:I28">
    <x:cfRule type="cellIs" dxfId="4" priority="3" operator="lessThan">
      <x:formula>0</x:formula>
    </x:cfRule>
  </x:conditionalFormatting>
  <x:conditionalFormatting sqref="L7:L28">
    <x:cfRule type="cellIs" dxfId="3" priority="2" operator="lessThan">
      <x:formula>0</x:formula>
    </x:cfRule>
  </x:conditionalFormatting>
  <x:conditionalFormatting sqref="O7:O28">
    <x:cfRule type="cellIs" dxfId="2" priority="1" operator="lessThan">
      <x:formula>0</x:formula>
    </x:cfRule>
  </x:conditionalFormatting>
  <x:pageMargins left="0.7" right="0.7" top="0.75" bottom="0.75" header="0.3" footer="0.3"/>
</x:worksheet>
</file>