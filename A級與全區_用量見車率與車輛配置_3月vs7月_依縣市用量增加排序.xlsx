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調度相關\outputs\用量增加排序_3月vs7月\"/>
    </mc:Choice>
  </mc:AlternateContent>
  <xr:revisionPtr revIDLastSave="0" documentId="13_ncr:1_{50694DEB-2A54-4B66-8617-B735952D4E4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級場站明細" sheetId="1" r:id="rId1"/>
    <sheet name="行政區比較" sheetId="2" r:id="rId2"/>
    <sheet name="車輛數" sheetId="3" r:id="rId3"/>
    <sheet name="配置與總用量" sheetId="4" r:id="rId4"/>
    <sheet name="配置成效整合" sheetId="5" r:id="rId5"/>
  </sheets>
  <calcPr calcId="191029"/>
</workbook>
</file>

<file path=xl/calcChain.xml><?xml version="1.0" encoding="utf-8"?>
<calcChain xmlns="http://schemas.openxmlformats.org/spreadsheetml/2006/main">
  <c r="N29" i="5" l="1"/>
  <c r="O29" i="5" s="1"/>
  <c r="M29" i="5"/>
  <c r="K29" i="5"/>
  <c r="L29" i="5" s="1"/>
  <c r="J29" i="5"/>
  <c r="H29" i="5"/>
  <c r="I29" i="5" s="1"/>
  <c r="G29" i="5"/>
  <c r="D29" i="5"/>
  <c r="F29" i="5" s="1"/>
  <c r="C29" i="5"/>
  <c r="E29" i="5" s="1"/>
  <c r="O28" i="5"/>
  <c r="L28" i="5"/>
  <c r="I28" i="5"/>
  <c r="F28" i="5"/>
  <c r="E28" i="5"/>
  <c r="O27" i="5"/>
  <c r="L27" i="5"/>
  <c r="I27" i="5"/>
  <c r="F27" i="5"/>
  <c r="E27" i="5"/>
  <c r="O26" i="5"/>
  <c r="L26" i="5"/>
  <c r="I26" i="5"/>
  <c r="F26" i="5"/>
  <c r="E26" i="5"/>
  <c r="O25" i="5"/>
  <c r="L25" i="5"/>
  <c r="I25" i="5"/>
  <c r="F25" i="5"/>
  <c r="E25" i="5"/>
  <c r="O24" i="5"/>
  <c r="L24" i="5"/>
  <c r="I24" i="5"/>
  <c r="F24" i="5"/>
  <c r="E24" i="5"/>
  <c r="O23" i="5"/>
  <c r="L23" i="5"/>
  <c r="I23" i="5"/>
  <c r="F23" i="5"/>
  <c r="E23" i="5"/>
  <c r="O22" i="5"/>
  <c r="L22" i="5"/>
  <c r="I22" i="5"/>
  <c r="F22" i="5"/>
  <c r="E22" i="5"/>
  <c r="O21" i="5"/>
  <c r="L21" i="5"/>
  <c r="I21" i="5"/>
  <c r="F21" i="5"/>
  <c r="E21" i="5"/>
  <c r="O20" i="5"/>
  <c r="L20" i="5"/>
  <c r="I20" i="5"/>
  <c r="F20" i="5"/>
  <c r="E20" i="5"/>
  <c r="O19" i="5"/>
  <c r="L19" i="5"/>
  <c r="I19" i="5"/>
  <c r="F19" i="5"/>
  <c r="E19" i="5"/>
  <c r="O18" i="5"/>
  <c r="L18" i="5"/>
  <c r="I18" i="5"/>
  <c r="F18" i="5"/>
  <c r="E18" i="5"/>
  <c r="O17" i="5"/>
  <c r="L17" i="5"/>
  <c r="I17" i="5"/>
  <c r="F17" i="5"/>
  <c r="E17" i="5"/>
  <c r="O16" i="5"/>
  <c r="L16" i="5"/>
  <c r="I16" i="5"/>
  <c r="F16" i="5"/>
  <c r="E16" i="5"/>
  <c r="O15" i="5"/>
  <c r="L15" i="5"/>
  <c r="I15" i="5"/>
  <c r="F15" i="5"/>
  <c r="E15" i="5"/>
  <c r="O14" i="5"/>
  <c r="L14" i="5"/>
  <c r="I14" i="5"/>
  <c r="F14" i="5"/>
  <c r="E14" i="5"/>
  <c r="O13" i="5"/>
  <c r="L13" i="5"/>
  <c r="I13" i="5"/>
  <c r="F13" i="5"/>
  <c r="E13" i="5"/>
  <c r="O12" i="5"/>
  <c r="L12" i="5"/>
  <c r="I12" i="5"/>
  <c r="F12" i="5"/>
  <c r="E12" i="5"/>
  <c r="O11" i="5"/>
  <c r="L11" i="5"/>
  <c r="I11" i="5"/>
  <c r="F11" i="5"/>
  <c r="E11" i="5"/>
  <c r="O10" i="5"/>
  <c r="L10" i="5"/>
  <c r="I10" i="5"/>
  <c r="F10" i="5"/>
  <c r="E10" i="5"/>
  <c r="O9" i="5"/>
  <c r="L9" i="5"/>
  <c r="I9" i="5"/>
  <c r="F9" i="5"/>
  <c r="E9" i="5"/>
  <c r="O8" i="5"/>
  <c r="L8" i="5"/>
  <c r="I8" i="5"/>
  <c r="F8" i="5"/>
  <c r="E8" i="5"/>
  <c r="O7" i="5"/>
  <c r="L7" i="5"/>
  <c r="I7" i="5"/>
  <c r="F7" i="5"/>
  <c r="E7" i="5"/>
  <c r="J40" i="4"/>
  <c r="I40" i="4"/>
  <c r="F40" i="4"/>
  <c r="E40" i="4"/>
  <c r="J39" i="4"/>
  <c r="I39" i="4"/>
  <c r="F39" i="4"/>
  <c r="E39" i="4"/>
  <c r="J38" i="4"/>
  <c r="I38" i="4"/>
  <c r="F38" i="4"/>
  <c r="E38" i="4"/>
  <c r="J37" i="4"/>
  <c r="I37" i="4"/>
  <c r="F37" i="4"/>
  <c r="E37" i="4"/>
  <c r="J36" i="4"/>
  <c r="I36" i="4"/>
  <c r="F36" i="4"/>
  <c r="E36" i="4"/>
  <c r="J35" i="4"/>
  <c r="I35" i="4"/>
  <c r="F35" i="4"/>
  <c r="E35" i="4"/>
  <c r="J34" i="4"/>
  <c r="I34" i="4"/>
  <c r="F34" i="4"/>
  <c r="E34" i="4"/>
  <c r="J33" i="4"/>
  <c r="I33" i="4"/>
  <c r="F33" i="4"/>
  <c r="E33" i="4"/>
  <c r="J32" i="4"/>
  <c r="I32" i="4"/>
  <c r="F32" i="4"/>
  <c r="E32" i="4"/>
  <c r="J31" i="4"/>
  <c r="I31" i="4"/>
  <c r="F31" i="4"/>
  <c r="E31" i="4"/>
  <c r="J30" i="4"/>
  <c r="I30" i="4"/>
  <c r="F30" i="4"/>
  <c r="E30" i="4"/>
  <c r="J29" i="4"/>
  <c r="I29" i="4"/>
  <c r="F29" i="4"/>
  <c r="E29" i="4"/>
  <c r="J28" i="4"/>
  <c r="I28" i="4"/>
  <c r="F28" i="4"/>
  <c r="E28" i="4"/>
  <c r="J27" i="4"/>
  <c r="I27" i="4"/>
  <c r="F27" i="4"/>
  <c r="E27" i="4"/>
  <c r="J26" i="4"/>
  <c r="I26" i="4"/>
  <c r="F26" i="4"/>
  <c r="E26" i="4"/>
  <c r="J25" i="4"/>
  <c r="I25" i="4"/>
  <c r="F25" i="4"/>
  <c r="E25" i="4"/>
  <c r="J24" i="4"/>
  <c r="I24" i="4"/>
  <c r="F24" i="4"/>
  <c r="E24" i="4"/>
  <c r="J23" i="4"/>
  <c r="I23" i="4"/>
  <c r="F23" i="4"/>
  <c r="E23" i="4"/>
  <c r="J22" i="4"/>
  <c r="I22" i="4"/>
  <c r="F22" i="4"/>
  <c r="E22" i="4"/>
  <c r="J21" i="4"/>
  <c r="I21" i="4"/>
  <c r="F21" i="4"/>
  <c r="E21" i="4"/>
  <c r="J20" i="4"/>
  <c r="I20" i="4"/>
  <c r="F20" i="4"/>
  <c r="E20" i="4"/>
  <c r="J19" i="4"/>
  <c r="I19" i="4"/>
  <c r="F19" i="4"/>
  <c r="E19" i="4"/>
  <c r="J18" i="4"/>
  <c r="I18" i="4"/>
  <c r="F18" i="4"/>
  <c r="E18" i="4"/>
  <c r="J17" i="4"/>
  <c r="I17" i="4"/>
  <c r="F17" i="4"/>
  <c r="E17" i="4"/>
  <c r="J16" i="4"/>
  <c r="I16" i="4"/>
  <c r="F16" i="4"/>
  <c r="E16" i="4"/>
  <c r="J15" i="4"/>
  <c r="I15" i="4"/>
  <c r="F15" i="4"/>
  <c r="E15" i="4"/>
  <c r="J14" i="4"/>
  <c r="I14" i="4"/>
  <c r="F14" i="4"/>
  <c r="E14" i="4"/>
  <c r="J13" i="4"/>
  <c r="I13" i="4"/>
  <c r="F13" i="4"/>
  <c r="E13" i="4"/>
  <c r="J12" i="4"/>
  <c r="I12" i="4"/>
  <c r="F12" i="4"/>
  <c r="E12" i="4"/>
  <c r="J11" i="4"/>
  <c r="I11" i="4"/>
  <c r="F11" i="4"/>
  <c r="E11" i="4"/>
  <c r="J10" i="4"/>
  <c r="I10" i="4"/>
  <c r="F10" i="4"/>
  <c r="E10" i="4"/>
  <c r="J9" i="4"/>
  <c r="I9" i="4"/>
  <c r="F9" i="4"/>
  <c r="E9" i="4"/>
  <c r="J8" i="4"/>
  <c r="I8" i="4"/>
  <c r="F8" i="4"/>
  <c r="E8" i="4"/>
  <c r="J7" i="4"/>
  <c r="I7" i="4"/>
  <c r="F7" i="4"/>
  <c r="E7" i="4"/>
  <c r="P31" i="2"/>
  <c r="M31" i="2"/>
  <c r="J31" i="2"/>
  <c r="G31" i="2"/>
  <c r="F31" i="2"/>
  <c r="P30" i="2"/>
  <c r="M30" i="2"/>
  <c r="J30" i="2"/>
  <c r="G30" i="2"/>
  <c r="F30" i="2"/>
  <c r="P29" i="2"/>
  <c r="M29" i="2"/>
  <c r="J29" i="2"/>
  <c r="G29" i="2"/>
  <c r="F29" i="2"/>
  <c r="P28" i="2"/>
  <c r="M28" i="2"/>
  <c r="J28" i="2"/>
  <c r="G28" i="2"/>
  <c r="F28" i="2"/>
  <c r="P27" i="2"/>
  <c r="M27" i="2"/>
  <c r="J27" i="2"/>
  <c r="G27" i="2"/>
  <c r="F27" i="2"/>
  <c r="P26" i="2"/>
  <c r="M26" i="2"/>
  <c r="J26" i="2"/>
  <c r="G26" i="2"/>
  <c r="F26" i="2"/>
  <c r="P25" i="2"/>
  <c r="M25" i="2"/>
  <c r="J25" i="2"/>
  <c r="G25" i="2"/>
  <c r="F25" i="2"/>
  <c r="P24" i="2"/>
  <c r="M24" i="2"/>
  <c r="J24" i="2"/>
  <c r="G24" i="2"/>
  <c r="F24" i="2"/>
  <c r="P23" i="2"/>
  <c r="M23" i="2"/>
  <c r="J23" i="2"/>
  <c r="G23" i="2"/>
  <c r="F23" i="2"/>
  <c r="P22" i="2"/>
  <c r="M22" i="2"/>
  <c r="J22" i="2"/>
  <c r="G22" i="2"/>
  <c r="F22" i="2"/>
  <c r="P21" i="2"/>
  <c r="M21" i="2"/>
  <c r="J21" i="2"/>
  <c r="G21" i="2"/>
  <c r="F21" i="2"/>
  <c r="P20" i="2"/>
  <c r="M20" i="2"/>
  <c r="J20" i="2"/>
  <c r="G20" i="2"/>
  <c r="F20" i="2"/>
  <c r="P19" i="2"/>
  <c r="M19" i="2"/>
  <c r="J19" i="2"/>
  <c r="G19" i="2"/>
  <c r="F19" i="2"/>
  <c r="P18" i="2"/>
  <c r="M18" i="2"/>
  <c r="J18" i="2"/>
  <c r="G18" i="2"/>
  <c r="F18" i="2"/>
  <c r="P17" i="2"/>
  <c r="M17" i="2"/>
  <c r="J17" i="2"/>
  <c r="G17" i="2"/>
  <c r="F17" i="2"/>
  <c r="P16" i="2"/>
  <c r="M16" i="2"/>
  <c r="J16" i="2"/>
  <c r="G16" i="2"/>
  <c r="F16" i="2"/>
  <c r="P15" i="2"/>
  <c r="M15" i="2"/>
  <c r="J15" i="2"/>
  <c r="G15" i="2"/>
  <c r="F15" i="2"/>
  <c r="P14" i="2"/>
  <c r="M14" i="2"/>
  <c r="J14" i="2"/>
  <c r="G14" i="2"/>
  <c r="F14" i="2"/>
  <c r="P13" i="2"/>
  <c r="M13" i="2"/>
  <c r="J13" i="2"/>
  <c r="G13" i="2"/>
  <c r="F13" i="2"/>
  <c r="P12" i="2"/>
  <c r="M12" i="2"/>
  <c r="J12" i="2"/>
  <c r="G12" i="2"/>
  <c r="F12" i="2"/>
  <c r="P11" i="2"/>
  <c r="M11" i="2"/>
  <c r="J11" i="2"/>
  <c r="G11" i="2"/>
  <c r="F11" i="2"/>
  <c r="P10" i="2"/>
  <c r="M10" i="2"/>
  <c r="J10" i="2"/>
  <c r="G10" i="2"/>
  <c r="F10" i="2"/>
  <c r="P9" i="2"/>
  <c r="M9" i="2"/>
  <c r="J9" i="2"/>
  <c r="G9" i="2"/>
  <c r="F9" i="2"/>
  <c r="P8" i="2"/>
  <c r="M8" i="2"/>
  <c r="J8" i="2"/>
  <c r="G8" i="2"/>
  <c r="F8" i="2"/>
  <c r="P7" i="2"/>
  <c r="M7" i="2"/>
  <c r="J7" i="2"/>
  <c r="G7" i="2"/>
  <c r="F7" i="2"/>
  <c r="P200" i="1"/>
  <c r="Q200" i="1" s="1"/>
  <c r="O200" i="1"/>
  <c r="M200" i="1"/>
  <c r="N200" i="1" s="1"/>
  <c r="L200" i="1"/>
  <c r="K200" i="1"/>
  <c r="J200" i="1"/>
  <c r="I200" i="1"/>
  <c r="F200" i="1"/>
  <c r="E200" i="1"/>
  <c r="H200" i="1" s="1"/>
  <c r="Q199" i="1"/>
  <c r="N199" i="1"/>
  <c r="K199" i="1"/>
  <c r="H199" i="1"/>
  <c r="G199" i="1"/>
  <c r="Q198" i="1"/>
  <c r="N198" i="1"/>
  <c r="K198" i="1"/>
  <c r="H198" i="1"/>
  <c r="G198" i="1"/>
  <c r="Q197" i="1"/>
  <c r="N197" i="1"/>
  <c r="K197" i="1"/>
  <c r="H197" i="1"/>
  <c r="G197" i="1"/>
  <c r="Q196" i="1"/>
  <c r="N196" i="1"/>
  <c r="K196" i="1"/>
  <c r="H196" i="1"/>
  <c r="G196" i="1"/>
  <c r="Q195" i="1"/>
  <c r="N195" i="1"/>
  <c r="K195" i="1"/>
  <c r="H195" i="1"/>
  <c r="G195" i="1"/>
  <c r="Q194" i="1"/>
  <c r="N194" i="1"/>
  <c r="K194" i="1"/>
  <c r="H194" i="1"/>
  <c r="G194" i="1"/>
  <c r="Q193" i="1"/>
  <c r="N193" i="1"/>
  <c r="K193" i="1"/>
  <c r="H193" i="1"/>
  <c r="G193" i="1"/>
  <c r="Q192" i="1"/>
  <c r="N192" i="1"/>
  <c r="K192" i="1"/>
  <c r="H192" i="1"/>
  <c r="G192" i="1"/>
  <c r="Q191" i="1"/>
  <c r="N191" i="1"/>
  <c r="K191" i="1"/>
  <c r="H191" i="1"/>
  <c r="G191" i="1"/>
  <c r="Q190" i="1"/>
  <c r="N190" i="1"/>
  <c r="K190" i="1"/>
  <c r="H190" i="1"/>
  <c r="G190" i="1"/>
  <c r="Q189" i="1"/>
  <c r="N189" i="1"/>
  <c r="K189" i="1"/>
  <c r="H189" i="1"/>
  <c r="G189" i="1"/>
  <c r="Q188" i="1"/>
  <c r="N188" i="1"/>
  <c r="K188" i="1"/>
  <c r="H188" i="1"/>
  <c r="G188" i="1"/>
  <c r="Q187" i="1"/>
  <c r="N187" i="1"/>
  <c r="K187" i="1"/>
  <c r="H187" i="1"/>
  <c r="G187" i="1"/>
  <c r="Q186" i="1"/>
  <c r="N186" i="1"/>
  <c r="K186" i="1"/>
  <c r="H186" i="1"/>
  <c r="G186" i="1"/>
  <c r="Q185" i="1"/>
  <c r="N185" i="1"/>
  <c r="K185" i="1"/>
  <c r="H185" i="1"/>
  <c r="G185" i="1"/>
  <c r="Q184" i="1"/>
  <c r="N184" i="1"/>
  <c r="K184" i="1"/>
  <c r="H184" i="1"/>
  <c r="G184" i="1"/>
  <c r="Q183" i="1"/>
  <c r="N183" i="1"/>
  <c r="K183" i="1"/>
  <c r="H183" i="1"/>
  <c r="G183" i="1"/>
  <c r="Q182" i="1"/>
  <c r="N182" i="1"/>
  <c r="K182" i="1"/>
  <c r="H182" i="1"/>
  <c r="G182" i="1"/>
  <c r="Q181" i="1"/>
  <c r="N181" i="1"/>
  <c r="K181" i="1"/>
  <c r="H181" i="1"/>
  <c r="G181" i="1"/>
  <c r="Q180" i="1"/>
  <c r="N180" i="1"/>
  <c r="K180" i="1"/>
  <c r="H180" i="1"/>
  <c r="G180" i="1"/>
  <c r="Q179" i="1"/>
  <c r="N179" i="1"/>
  <c r="K179" i="1"/>
  <c r="H179" i="1"/>
  <c r="G179" i="1"/>
  <c r="Q178" i="1"/>
  <c r="N178" i="1"/>
  <c r="K178" i="1"/>
  <c r="H178" i="1"/>
  <c r="G178" i="1"/>
  <c r="Q177" i="1"/>
  <c r="N177" i="1"/>
  <c r="K177" i="1"/>
  <c r="H177" i="1"/>
  <c r="G177" i="1"/>
  <c r="Q176" i="1"/>
  <c r="N176" i="1"/>
  <c r="K176" i="1"/>
  <c r="H176" i="1"/>
  <c r="G176" i="1"/>
  <c r="Q175" i="1"/>
  <c r="N175" i="1"/>
  <c r="K175" i="1"/>
  <c r="H175" i="1"/>
  <c r="G175" i="1"/>
  <c r="Q174" i="1"/>
  <c r="N174" i="1"/>
  <c r="K174" i="1"/>
  <c r="H174" i="1"/>
  <c r="G174" i="1"/>
  <c r="Q173" i="1"/>
  <c r="N173" i="1"/>
  <c r="K173" i="1"/>
  <c r="H173" i="1"/>
  <c r="G173" i="1"/>
  <c r="Q172" i="1"/>
  <c r="N172" i="1"/>
  <c r="K172" i="1"/>
  <c r="H172" i="1"/>
  <c r="G172" i="1"/>
  <c r="Q171" i="1"/>
  <c r="N171" i="1"/>
  <c r="K171" i="1"/>
  <c r="H171" i="1"/>
  <c r="G171" i="1"/>
  <c r="Q170" i="1"/>
  <c r="N170" i="1"/>
  <c r="K170" i="1"/>
  <c r="H170" i="1"/>
  <c r="G170" i="1"/>
  <c r="Q169" i="1"/>
  <c r="N169" i="1"/>
  <c r="K169" i="1"/>
  <c r="H169" i="1"/>
  <c r="G169" i="1"/>
  <c r="Q168" i="1"/>
  <c r="N168" i="1"/>
  <c r="K168" i="1"/>
  <c r="H168" i="1"/>
  <c r="G168" i="1"/>
  <c r="Q167" i="1"/>
  <c r="N167" i="1"/>
  <c r="K167" i="1"/>
  <c r="H167" i="1"/>
  <c r="G167" i="1"/>
  <c r="Q166" i="1"/>
  <c r="N166" i="1"/>
  <c r="K166" i="1"/>
  <c r="H166" i="1"/>
  <c r="G166" i="1"/>
  <c r="Q165" i="1"/>
  <c r="N165" i="1"/>
  <c r="K165" i="1"/>
  <c r="H165" i="1"/>
  <c r="G165" i="1"/>
  <c r="Q164" i="1"/>
  <c r="N164" i="1"/>
  <c r="K164" i="1"/>
  <c r="H164" i="1"/>
  <c r="G164" i="1"/>
  <c r="Q163" i="1"/>
  <c r="N163" i="1"/>
  <c r="K163" i="1"/>
  <c r="H163" i="1"/>
  <c r="G163" i="1"/>
  <c r="Q162" i="1"/>
  <c r="N162" i="1"/>
  <c r="K162" i="1"/>
  <c r="H162" i="1"/>
  <c r="G162" i="1"/>
  <c r="Q161" i="1"/>
  <c r="N161" i="1"/>
  <c r="K161" i="1"/>
  <c r="H161" i="1"/>
  <c r="G161" i="1"/>
  <c r="Q160" i="1"/>
  <c r="N160" i="1"/>
  <c r="K160" i="1"/>
  <c r="H160" i="1"/>
  <c r="G160" i="1"/>
  <c r="Q159" i="1"/>
  <c r="N159" i="1"/>
  <c r="K159" i="1"/>
  <c r="H159" i="1"/>
  <c r="G159" i="1"/>
  <c r="Q158" i="1"/>
  <c r="N158" i="1"/>
  <c r="K158" i="1"/>
  <c r="H158" i="1"/>
  <c r="G158" i="1"/>
  <c r="Q157" i="1"/>
  <c r="N157" i="1"/>
  <c r="K157" i="1"/>
  <c r="H157" i="1"/>
  <c r="G157" i="1"/>
  <c r="Q156" i="1"/>
  <c r="N156" i="1"/>
  <c r="K156" i="1"/>
  <c r="H156" i="1"/>
  <c r="G156" i="1"/>
  <c r="Q155" i="1"/>
  <c r="N155" i="1"/>
  <c r="K155" i="1"/>
  <c r="H155" i="1"/>
  <c r="G155" i="1"/>
  <c r="Q154" i="1"/>
  <c r="N154" i="1"/>
  <c r="K154" i="1"/>
  <c r="H154" i="1"/>
  <c r="G154" i="1"/>
  <c r="Q153" i="1"/>
  <c r="N153" i="1"/>
  <c r="K153" i="1"/>
  <c r="H153" i="1"/>
  <c r="G153" i="1"/>
  <c r="Q152" i="1"/>
  <c r="N152" i="1"/>
  <c r="K152" i="1"/>
  <c r="H152" i="1"/>
  <c r="G152" i="1"/>
  <c r="Q151" i="1"/>
  <c r="N151" i="1"/>
  <c r="K151" i="1"/>
  <c r="H151" i="1"/>
  <c r="G151" i="1"/>
  <c r="Q150" i="1"/>
  <c r="N150" i="1"/>
  <c r="K150" i="1"/>
  <c r="H150" i="1"/>
  <c r="G150" i="1"/>
  <c r="Q149" i="1"/>
  <c r="N149" i="1"/>
  <c r="K149" i="1"/>
  <c r="H149" i="1"/>
  <c r="G149" i="1"/>
  <c r="Q148" i="1"/>
  <c r="N148" i="1"/>
  <c r="K148" i="1"/>
  <c r="H148" i="1"/>
  <c r="G148" i="1"/>
  <c r="Q147" i="1"/>
  <c r="N147" i="1"/>
  <c r="K147" i="1"/>
  <c r="H147" i="1"/>
  <c r="G147" i="1"/>
  <c r="Q146" i="1"/>
  <c r="N146" i="1"/>
  <c r="K146" i="1"/>
  <c r="H146" i="1"/>
  <c r="G146" i="1"/>
  <c r="Q145" i="1"/>
  <c r="N145" i="1"/>
  <c r="K145" i="1"/>
  <c r="H145" i="1"/>
  <c r="G145" i="1"/>
  <c r="Q144" i="1"/>
  <c r="N144" i="1"/>
  <c r="K144" i="1"/>
  <c r="H144" i="1"/>
  <c r="G144" i="1"/>
  <c r="Q143" i="1"/>
  <c r="N143" i="1"/>
  <c r="K143" i="1"/>
  <c r="H143" i="1"/>
  <c r="G143" i="1"/>
  <c r="Q142" i="1"/>
  <c r="N142" i="1"/>
  <c r="K142" i="1"/>
  <c r="H142" i="1"/>
  <c r="G142" i="1"/>
  <c r="Q141" i="1"/>
  <c r="N141" i="1"/>
  <c r="K141" i="1"/>
  <c r="H141" i="1"/>
  <c r="G141" i="1"/>
  <c r="Q140" i="1"/>
  <c r="N140" i="1"/>
  <c r="K140" i="1"/>
  <c r="H140" i="1"/>
  <c r="G140" i="1"/>
  <c r="Q139" i="1"/>
  <c r="N139" i="1"/>
  <c r="K139" i="1"/>
  <c r="H139" i="1"/>
  <c r="G139" i="1"/>
  <c r="Q138" i="1"/>
  <c r="N138" i="1"/>
  <c r="K138" i="1"/>
  <c r="H138" i="1"/>
  <c r="G138" i="1"/>
  <c r="Q137" i="1"/>
  <c r="N137" i="1"/>
  <c r="K137" i="1"/>
  <c r="H137" i="1"/>
  <c r="G137" i="1"/>
  <c r="Q136" i="1"/>
  <c r="N136" i="1"/>
  <c r="K136" i="1"/>
  <c r="H136" i="1"/>
  <c r="G136" i="1"/>
  <c r="Q135" i="1"/>
  <c r="N135" i="1"/>
  <c r="K135" i="1"/>
  <c r="H135" i="1"/>
  <c r="G135" i="1"/>
  <c r="Q134" i="1"/>
  <c r="N134" i="1"/>
  <c r="K134" i="1"/>
  <c r="H134" i="1"/>
  <c r="G134" i="1"/>
  <c r="Q133" i="1"/>
  <c r="N133" i="1"/>
  <c r="K133" i="1"/>
  <c r="H133" i="1"/>
  <c r="G133" i="1"/>
  <c r="Q132" i="1"/>
  <c r="N132" i="1"/>
  <c r="K132" i="1"/>
  <c r="H132" i="1"/>
  <c r="G132" i="1"/>
  <c r="Q131" i="1"/>
  <c r="N131" i="1"/>
  <c r="K131" i="1"/>
  <c r="H131" i="1"/>
  <c r="G131" i="1"/>
  <c r="Q130" i="1"/>
  <c r="N130" i="1"/>
  <c r="K130" i="1"/>
  <c r="H130" i="1"/>
  <c r="G130" i="1"/>
  <c r="Q129" i="1"/>
  <c r="N129" i="1"/>
  <c r="K129" i="1"/>
  <c r="H129" i="1"/>
  <c r="G129" i="1"/>
  <c r="Q128" i="1"/>
  <c r="N128" i="1"/>
  <c r="K128" i="1"/>
  <c r="H128" i="1"/>
  <c r="G128" i="1"/>
  <c r="Q127" i="1"/>
  <c r="N127" i="1"/>
  <c r="K127" i="1"/>
  <c r="H127" i="1"/>
  <c r="G127" i="1"/>
  <c r="Q126" i="1"/>
  <c r="N126" i="1"/>
  <c r="K126" i="1"/>
  <c r="H126" i="1"/>
  <c r="G126" i="1"/>
  <c r="Q125" i="1"/>
  <c r="N125" i="1"/>
  <c r="K125" i="1"/>
  <c r="H125" i="1"/>
  <c r="G125" i="1"/>
  <c r="Q124" i="1"/>
  <c r="N124" i="1"/>
  <c r="K124" i="1"/>
  <c r="H124" i="1"/>
  <c r="G124" i="1"/>
  <c r="Q123" i="1"/>
  <c r="N123" i="1"/>
  <c r="K123" i="1"/>
  <c r="H123" i="1"/>
  <c r="G123" i="1"/>
  <c r="Q122" i="1"/>
  <c r="N122" i="1"/>
  <c r="K122" i="1"/>
  <c r="H122" i="1"/>
  <c r="G122" i="1"/>
  <c r="Q121" i="1"/>
  <c r="N121" i="1"/>
  <c r="K121" i="1"/>
  <c r="H121" i="1"/>
  <c r="G121" i="1"/>
  <c r="Q120" i="1"/>
  <c r="N120" i="1"/>
  <c r="K120" i="1"/>
  <c r="H120" i="1"/>
  <c r="G120" i="1"/>
  <c r="Q119" i="1"/>
  <c r="N119" i="1"/>
  <c r="K119" i="1"/>
  <c r="H119" i="1"/>
  <c r="G119" i="1"/>
  <c r="Q118" i="1"/>
  <c r="N118" i="1"/>
  <c r="K118" i="1"/>
  <c r="H118" i="1"/>
  <c r="G118" i="1"/>
  <c r="Q117" i="1"/>
  <c r="N117" i="1"/>
  <c r="K117" i="1"/>
  <c r="H117" i="1"/>
  <c r="G117" i="1"/>
  <c r="Q116" i="1"/>
  <c r="N116" i="1"/>
  <c r="K116" i="1"/>
  <c r="H116" i="1"/>
  <c r="G116" i="1"/>
  <c r="Q115" i="1"/>
  <c r="N115" i="1"/>
  <c r="K115" i="1"/>
  <c r="H115" i="1"/>
  <c r="G115" i="1"/>
  <c r="Q114" i="1"/>
  <c r="N114" i="1"/>
  <c r="K114" i="1"/>
  <c r="H114" i="1"/>
  <c r="G114" i="1"/>
  <c r="Q113" i="1"/>
  <c r="N113" i="1"/>
  <c r="K113" i="1"/>
  <c r="H113" i="1"/>
  <c r="G113" i="1"/>
  <c r="Q112" i="1"/>
  <c r="N112" i="1"/>
  <c r="K112" i="1"/>
  <c r="H112" i="1"/>
  <c r="G112" i="1"/>
  <c r="Q111" i="1"/>
  <c r="N111" i="1"/>
  <c r="K111" i="1"/>
  <c r="H111" i="1"/>
  <c r="G111" i="1"/>
  <c r="Q110" i="1"/>
  <c r="N110" i="1"/>
  <c r="K110" i="1"/>
  <c r="H110" i="1"/>
  <c r="G110" i="1"/>
  <c r="Q109" i="1"/>
  <c r="N109" i="1"/>
  <c r="K109" i="1"/>
  <c r="H109" i="1"/>
  <c r="G109" i="1"/>
  <c r="Q108" i="1"/>
  <c r="N108" i="1"/>
  <c r="K108" i="1"/>
  <c r="H108" i="1"/>
  <c r="G108" i="1"/>
  <c r="Q107" i="1"/>
  <c r="N107" i="1"/>
  <c r="K107" i="1"/>
  <c r="H107" i="1"/>
  <c r="G107" i="1"/>
  <c r="Q106" i="1"/>
  <c r="N106" i="1"/>
  <c r="K106" i="1"/>
  <c r="H106" i="1"/>
  <c r="G106" i="1"/>
  <c r="Q105" i="1"/>
  <c r="N105" i="1"/>
  <c r="K105" i="1"/>
  <c r="H105" i="1"/>
  <c r="G105" i="1"/>
  <c r="Q104" i="1"/>
  <c r="N104" i="1"/>
  <c r="K104" i="1"/>
  <c r="H104" i="1"/>
  <c r="G104" i="1"/>
  <c r="Q103" i="1"/>
  <c r="N103" i="1"/>
  <c r="K103" i="1"/>
  <c r="H103" i="1"/>
  <c r="G103" i="1"/>
  <c r="Q102" i="1"/>
  <c r="N102" i="1"/>
  <c r="K102" i="1"/>
  <c r="H102" i="1"/>
  <c r="G102" i="1"/>
  <c r="Q101" i="1"/>
  <c r="N101" i="1"/>
  <c r="K101" i="1"/>
  <c r="H101" i="1"/>
  <c r="G101" i="1"/>
  <c r="Q100" i="1"/>
  <c r="N100" i="1"/>
  <c r="K100" i="1"/>
  <c r="H100" i="1"/>
  <c r="G100" i="1"/>
  <c r="Q99" i="1"/>
  <c r="N99" i="1"/>
  <c r="K99" i="1"/>
  <c r="H99" i="1"/>
  <c r="G99" i="1"/>
  <c r="Q98" i="1"/>
  <c r="N98" i="1"/>
  <c r="K98" i="1"/>
  <c r="H98" i="1"/>
  <c r="G98" i="1"/>
  <c r="Q97" i="1"/>
  <c r="N97" i="1"/>
  <c r="K97" i="1"/>
  <c r="H97" i="1"/>
  <c r="G97" i="1"/>
  <c r="Q96" i="1"/>
  <c r="N96" i="1"/>
  <c r="K96" i="1"/>
  <c r="H96" i="1"/>
  <c r="G96" i="1"/>
  <c r="Q95" i="1"/>
  <c r="N95" i="1"/>
  <c r="K95" i="1"/>
  <c r="H95" i="1"/>
  <c r="G95" i="1"/>
  <c r="Q94" i="1"/>
  <c r="N94" i="1"/>
  <c r="K94" i="1"/>
  <c r="H94" i="1"/>
  <c r="G94" i="1"/>
  <c r="Q93" i="1"/>
  <c r="N93" i="1"/>
  <c r="K93" i="1"/>
  <c r="H93" i="1"/>
  <c r="G93" i="1"/>
  <c r="Q92" i="1"/>
  <c r="N92" i="1"/>
  <c r="K92" i="1"/>
  <c r="H92" i="1"/>
  <c r="G92" i="1"/>
  <c r="Q91" i="1"/>
  <c r="N91" i="1"/>
  <c r="K91" i="1"/>
  <c r="H91" i="1"/>
  <c r="G91" i="1"/>
  <c r="Q90" i="1"/>
  <c r="N90" i="1"/>
  <c r="K90" i="1"/>
  <c r="H90" i="1"/>
  <c r="G90" i="1"/>
  <c r="Q89" i="1"/>
  <c r="N89" i="1"/>
  <c r="K89" i="1"/>
  <c r="H89" i="1"/>
  <c r="G89" i="1"/>
  <c r="Q88" i="1"/>
  <c r="N88" i="1"/>
  <c r="K88" i="1"/>
  <c r="H88" i="1"/>
  <c r="G88" i="1"/>
  <c r="Q87" i="1"/>
  <c r="N87" i="1"/>
  <c r="K87" i="1"/>
  <c r="H87" i="1"/>
  <c r="G87" i="1"/>
  <c r="Q86" i="1"/>
  <c r="N86" i="1"/>
  <c r="K86" i="1"/>
  <c r="H86" i="1"/>
  <c r="G86" i="1"/>
  <c r="Q85" i="1"/>
  <c r="N85" i="1"/>
  <c r="K85" i="1"/>
  <c r="H85" i="1"/>
  <c r="G85" i="1"/>
  <c r="Q84" i="1"/>
  <c r="N84" i="1"/>
  <c r="K84" i="1"/>
  <c r="H84" i="1"/>
  <c r="G84" i="1"/>
  <c r="Q83" i="1"/>
  <c r="N83" i="1"/>
  <c r="K83" i="1"/>
  <c r="H83" i="1"/>
  <c r="G83" i="1"/>
  <c r="Q82" i="1"/>
  <c r="N82" i="1"/>
  <c r="K82" i="1"/>
  <c r="H82" i="1"/>
  <c r="G82" i="1"/>
  <c r="Q81" i="1"/>
  <c r="N81" i="1"/>
  <c r="K81" i="1"/>
  <c r="H81" i="1"/>
  <c r="G81" i="1"/>
  <c r="Q80" i="1"/>
  <c r="N80" i="1"/>
  <c r="K80" i="1"/>
  <c r="H80" i="1"/>
  <c r="G80" i="1"/>
  <c r="Q79" i="1"/>
  <c r="N79" i="1"/>
  <c r="K79" i="1"/>
  <c r="H79" i="1"/>
  <c r="G79" i="1"/>
  <c r="Q78" i="1"/>
  <c r="N78" i="1"/>
  <c r="K78" i="1"/>
  <c r="H78" i="1"/>
  <c r="G78" i="1"/>
  <c r="Q77" i="1"/>
  <c r="N77" i="1"/>
  <c r="K77" i="1"/>
  <c r="H77" i="1"/>
  <c r="G77" i="1"/>
  <c r="Q76" i="1"/>
  <c r="N76" i="1"/>
  <c r="K76" i="1"/>
  <c r="H76" i="1"/>
  <c r="G76" i="1"/>
  <c r="Q75" i="1"/>
  <c r="N75" i="1"/>
  <c r="K75" i="1"/>
  <c r="H75" i="1"/>
  <c r="G75" i="1"/>
  <c r="Q74" i="1"/>
  <c r="N74" i="1"/>
  <c r="K74" i="1"/>
  <c r="H74" i="1"/>
  <c r="G74" i="1"/>
  <c r="Q73" i="1"/>
  <c r="N73" i="1"/>
  <c r="K73" i="1"/>
  <c r="H73" i="1"/>
  <c r="G73" i="1"/>
  <c r="Q72" i="1"/>
  <c r="N72" i="1"/>
  <c r="K72" i="1"/>
  <c r="H72" i="1"/>
  <c r="G72" i="1"/>
  <c r="Q71" i="1"/>
  <c r="N71" i="1"/>
  <c r="K71" i="1"/>
  <c r="H71" i="1"/>
  <c r="G71" i="1"/>
  <c r="Q70" i="1"/>
  <c r="N70" i="1"/>
  <c r="K70" i="1"/>
  <c r="H70" i="1"/>
  <c r="G70" i="1"/>
  <c r="Q69" i="1"/>
  <c r="N69" i="1"/>
  <c r="K69" i="1"/>
  <c r="H69" i="1"/>
  <c r="G69" i="1"/>
  <c r="Q68" i="1"/>
  <c r="N68" i="1"/>
  <c r="K68" i="1"/>
  <c r="H68" i="1"/>
  <c r="G68" i="1"/>
  <c r="Q67" i="1"/>
  <c r="N67" i="1"/>
  <c r="K67" i="1"/>
  <c r="H67" i="1"/>
  <c r="G67" i="1"/>
  <c r="Q66" i="1"/>
  <c r="N66" i="1"/>
  <c r="K66" i="1"/>
  <c r="H66" i="1"/>
  <c r="G66" i="1"/>
  <c r="Q65" i="1"/>
  <c r="N65" i="1"/>
  <c r="K65" i="1"/>
  <c r="H65" i="1"/>
  <c r="G65" i="1"/>
  <c r="Q64" i="1"/>
  <c r="N64" i="1"/>
  <c r="K64" i="1"/>
  <c r="H64" i="1"/>
  <c r="G64" i="1"/>
  <c r="Q63" i="1"/>
  <c r="N63" i="1"/>
  <c r="K63" i="1"/>
  <c r="H63" i="1"/>
  <c r="G63" i="1"/>
  <c r="Q62" i="1"/>
  <c r="N62" i="1"/>
  <c r="K62" i="1"/>
  <c r="H62" i="1"/>
  <c r="G62" i="1"/>
  <c r="Q61" i="1"/>
  <c r="N61" i="1"/>
  <c r="K61" i="1"/>
  <c r="H61" i="1"/>
  <c r="G61" i="1"/>
  <c r="Q60" i="1"/>
  <c r="N60" i="1"/>
  <c r="K60" i="1"/>
  <c r="H60" i="1"/>
  <c r="G60" i="1"/>
  <c r="Q59" i="1"/>
  <c r="N59" i="1"/>
  <c r="K59" i="1"/>
  <c r="H59" i="1"/>
  <c r="G59" i="1"/>
  <c r="Q58" i="1"/>
  <c r="N58" i="1"/>
  <c r="K58" i="1"/>
  <c r="H58" i="1"/>
  <c r="G58" i="1"/>
  <c r="Q57" i="1"/>
  <c r="N57" i="1"/>
  <c r="K57" i="1"/>
  <c r="H57" i="1"/>
  <c r="G57" i="1"/>
  <c r="Q56" i="1"/>
  <c r="N56" i="1"/>
  <c r="K56" i="1"/>
  <c r="H56" i="1"/>
  <c r="G56" i="1"/>
  <c r="Q55" i="1"/>
  <c r="N55" i="1"/>
  <c r="K55" i="1"/>
  <c r="H55" i="1"/>
  <c r="G55" i="1"/>
  <c r="Q54" i="1"/>
  <c r="N54" i="1"/>
  <c r="K54" i="1"/>
  <c r="H54" i="1"/>
  <c r="G54" i="1"/>
  <c r="Q53" i="1"/>
  <c r="N53" i="1"/>
  <c r="K53" i="1"/>
  <c r="H53" i="1"/>
  <c r="G53" i="1"/>
  <c r="Q52" i="1"/>
  <c r="N52" i="1"/>
  <c r="K52" i="1"/>
  <c r="H52" i="1"/>
  <c r="G52" i="1"/>
  <c r="Q51" i="1"/>
  <c r="N51" i="1"/>
  <c r="K51" i="1"/>
  <c r="H51" i="1"/>
  <c r="G51" i="1"/>
  <c r="Q50" i="1"/>
  <c r="N50" i="1"/>
  <c r="K50" i="1"/>
  <c r="H50" i="1"/>
  <c r="G50" i="1"/>
  <c r="Q49" i="1"/>
  <c r="N49" i="1"/>
  <c r="K49" i="1"/>
  <c r="H49" i="1"/>
  <c r="G49" i="1"/>
  <c r="Q48" i="1"/>
  <c r="N48" i="1"/>
  <c r="K48" i="1"/>
  <c r="H48" i="1"/>
  <c r="G48" i="1"/>
  <c r="Q47" i="1"/>
  <c r="N47" i="1"/>
  <c r="K47" i="1"/>
  <c r="H47" i="1"/>
  <c r="G47" i="1"/>
  <c r="Q46" i="1"/>
  <c r="N46" i="1"/>
  <c r="K46" i="1"/>
  <c r="H46" i="1"/>
  <c r="G46" i="1"/>
  <c r="Q45" i="1"/>
  <c r="N45" i="1"/>
  <c r="K45" i="1"/>
  <c r="H45" i="1"/>
  <c r="G45" i="1"/>
  <c r="Q44" i="1"/>
  <c r="N44" i="1"/>
  <c r="K44" i="1"/>
  <c r="H44" i="1"/>
  <c r="G44" i="1"/>
  <c r="Q43" i="1"/>
  <c r="N43" i="1"/>
  <c r="K43" i="1"/>
  <c r="H43" i="1"/>
  <c r="G43" i="1"/>
  <c r="Q42" i="1"/>
  <c r="N42" i="1"/>
  <c r="K42" i="1"/>
  <c r="H42" i="1"/>
  <c r="G42" i="1"/>
  <c r="Q41" i="1"/>
  <c r="N41" i="1"/>
  <c r="K41" i="1"/>
  <c r="H41" i="1"/>
  <c r="G41" i="1"/>
  <c r="Q40" i="1"/>
  <c r="N40" i="1"/>
  <c r="K40" i="1"/>
  <c r="H40" i="1"/>
  <c r="G40" i="1"/>
  <c r="Q39" i="1"/>
  <c r="N39" i="1"/>
  <c r="K39" i="1"/>
  <c r="H39" i="1"/>
  <c r="G39" i="1"/>
  <c r="Q38" i="1"/>
  <c r="N38" i="1"/>
  <c r="K38" i="1"/>
  <c r="H38" i="1"/>
  <c r="G38" i="1"/>
  <c r="Q37" i="1"/>
  <c r="N37" i="1"/>
  <c r="K37" i="1"/>
  <c r="H37" i="1"/>
  <c r="G37" i="1"/>
  <c r="Q36" i="1"/>
  <c r="N36" i="1"/>
  <c r="K36" i="1"/>
  <c r="H36" i="1"/>
  <c r="G36" i="1"/>
  <c r="Q35" i="1"/>
  <c r="N35" i="1"/>
  <c r="K35" i="1"/>
  <c r="H35" i="1"/>
  <c r="G35" i="1"/>
  <c r="Q34" i="1"/>
  <c r="N34" i="1"/>
  <c r="K34" i="1"/>
  <c r="H34" i="1"/>
  <c r="G34" i="1"/>
  <c r="Q33" i="1"/>
  <c r="N33" i="1"/>
  <c r="K33" i="1"/>
  <c r="H33" i="1"/>
  <c r="G33" i="1"/>
  <c r="Q32" i="1"/>
  <c r="N32" i="1"/>
  <c r="K32" i="1"/>
  <c r="H32" i="1"/>
  <c r="G32" i="1"/>
  <c r="Q31" i="1"/>
  <c r="N31" i="1"/>
  <c r="K31" i="1"/>
  <c r="H31" i="1"/>
  <c r="G31" i="1"/>
  <c r="Q30" i="1"/>
  <c r="N30" i="1"/>
  <c r="K30" i="1"/>
  <c r="H30" i="1"/>
  <c r="G30" i="1"/>
  <c r="Q29" i="1"/>
  <c r="N29" i="1"/>
  <c r="K29" i="1"/>
  <c r="H29" i="1"/>
  <c r="G29" i="1"/>
  <c r="Q28" i="1"/>
  <c r="N28" i="1"/>
  <c r="K28" i="1"/>
  <c r="H28" i="1"/>
  <c r="G28" i="1"/>
  <c r="Q27" i="1"/>
  <c r="N27" i="1"/>
  <c r="K27" i="1"/>
  <c r="H27" i="1"/>
  <c r="G27" i="1"/>
  <c r="Q26" i="1"/>
  <c r="N26" i="1"/>
  <c r="K26" i="1"/>
  <c r="H26" i="1"/>
  <c r="G26" i="1"/>
  <c r="Q25" i="1"/>
  <c r="N25" i="1"/>
  <c r="K25" i="1"/>
  <c r="H25" i="1"/>
  <c r="G25" i="1"/>
  <c r="Q24" i="1"/>
  <c r="N24" i="1"/>
  <c r="K24" i="1"/>
  <c r="H24" i="1"/>
  <c r="G24" i="1"/>
  <c r="Q23" i="1"/>
  <c r="N23" i="1"/>
  <c r="K23" i="1"/>
  <c r="H23" i="1"/>
  <c r="G23" i="1"/>
  <c r="Q22" i="1"/>
  <c r="N22" i="1"/>
  <c r="K22" i="1"/>
  <c r="H22" i="1"/>
  <c r="G22" i="1"/>
  <c r="Q21" i="1"/>
  <c r="N21" i="1"/>
  <c r="K21" i="1"/>
  <c r="H21" i="1"/>
  <c r="G21" i="1"/>
  <c r="Q20" i="1"/>
  <c r="N20" i="1"/>
  <c r="K20" i="1"/>
  <c r="H20" i="1"/>
  <c r="G20" i="1"/>
  <c r="Q19" i="1"/>
  <c r="N19" i="1"/>
  <c r="K19" i="1"/>
  <c r="H19" i="1"/>
  <c r="G19" i="1"/>
  <c r="Q18" i="1"/>
  <c r="N18" i="1"/>
  <c r="K18" i="1"/>
  <c r="H18" i="1"/>
  <c r="G18" i="1"/>
  <c r="Q17" i="1"/>
  <c r="N17" i="1"/>
  <c r="K17" i="1"/>
  <c r="H17" i="1"/>
  <c r="G17" i="1"/>
  <c r="Q16" i="1"/>
  <c r="N16" i="1"/>
  <c r="K16" i="1"/>
  <c r="H16" i="1"/>
  <c r="G16" i="1"/>
  <c r="Q15" i="1"/>
  <c r="N15" i="1"/>
  <c r="K15" i="1"/>
  <c r="H15" i="1"/>
  <c r="G15" i="1"/>
  <c r="Q14" i="1"/>
  <c r="N14" i="1"/>
  <c r="K14" i="1"/>
  <c r="H14" i="1"/>
  <c r="G14" i="1"/>
  <c r="Q13" i="1"/>
  <c r="N13" i="1"/>
  <c r="K13" i="1"/>
  <c r="H13" i="1"/>
  <c r="G13" i="1"/>
  <c r="Q12" i="1"/>
  <c r="N12" i="1"/>
  <c r="K12" i="1"/>
  <c r="H12" i="1"/>
  <c r="G12" i="1"/>
  <c r="Q11" i="1"/>
  <c r="N11" i="1"/>
  <c r="K11" i="1"/>
  <c r="H11" i="1"/>
  <c r="G11" i="1"/>
  <c r="Q10" i="1"/>
  <c r="N10" i="1"/>
  <c r="K10" i="1"/>
  <c r="H10" i="1"/>
  <c r="G10" i="1"/>
  <c r="Q9" i="1"/>
  <c r="N9" i="1"/>
  <c r="K9" i="1"/>
  <c r="H9" i="1"/>
  <c r="G9" i="1"/>
  <c r="G200" i="1" l="1"/>
</calcChain>
</file>

<file path=xl/sharedStrings.xml><?xml version="1.0" encoding="utf-8"?>
<sst xmlns="http://schemas.openxmlformats.org/spreadsheetml/2006/main" count="855" uniqueCount="272">
  <si>
    <t>※ 用量：CPS場站流量「總計」欄之單日平均借車次數；變化率＝(7月－3月)／3月。</t>
  </si>
  <si>
    <t>※ 見車率：Report見車率統計日報。6–24時＝06–23時；7–9時＝07/08/09時；17–19時＝17/18/19時；差異為百分點(pp)。</t>
  </si>
  <si>
    <t>※ 臺鐵鳳鳴站7月（上述5日）無資料，7月欄從缺；該站屬場站狀態變動，請另行確認。3月為整月、7月為5代表日，天數不同請留意。</t>
  </si>
  <si>
    <t>序</t>
  </si>
  <si>
    <t>城市</t>
  </si>
  <si>
    <t>行政區</t>
  </si>
  <si>
    <t>場站名稱</t>
  </si>
  <si>
    <t>用量（單日平均借車）</t>
  </si>
  <si>
    <t>見車率 6–24時</t>
  </si>
  <si>
    <t>見車率 7–9時</t>
  </si>
  <si>
    <t>見車率 17–19時</t>
  </si>
  <si>
    <t>差異</t>
  </si>
  <si>
    <t>變化率</t>
  </si>
  <si>
    <t>※ 依行政區彙總A級場站。用量＝區內A級站「單日平均借車」加總；見車率＝區內A級站之算術平均（未加權）。變化率＝(7月－3月)／3月。</t>
  </si>
  <si>
    <t>※ 各月以當月有資料之站彙總。新北市鶯歌區僅臺鐵鳳鳴站1站、7月無資料，故該區7月從缺、差異不計。</t>
  </si>
  <si>
    <t>站數</t>
  </si>
  <si>
    <t>用量（區內合計日均）</t>
  </si>
  <si>
    <t>台北市 小計</t>
  </si>
  <si>
    <t>新北市 小計</t>
  </si>
  <si>
    <t>上週
平均車輛數</t>
  </si>
  <si>
    <t>大安區</t>
  </si>
  <si>
    <t>中山區</t>
  </si>
  <si>
    <t>信義區</t>
  </si>
  <si>
    <t>松山區</t>
  </si>
  <si>
    <t>中正區</t>
  </si>
  <si>
    <t>內湖區</t>
  </si>
  <si>
    <t>臺大公館校區</t>
  </si>
  <si>
    <t>士林區</t>
  </si>
  <si>
    <t>大同區</t>
  </si>
  <si>
    <t>北投區</t>
  </si>
  <si>
    <t>南港區</t>
  </si>
  <si>
    <t>萬華區</t>
  </si>
  <si>
    <t>文山區</t>
  </si>
  <si>
    <t>板橋區</t>
  </si>
  <si>
    <t>新莊區</t>
  </si>
  <si>
    <t>三重區</t>
  </si>
  <si>
    <t>中和區</t>
  </si>
  <si>
    <t>新店區</t>
  </si>
  <si>
    <t>土城區</t>
  </si>
  <si>
    <t>永和區</t>
  </si>
  <si>
    <t>林口區</t>
  </si>
  <si>
    <t>蘆洲區</t>
  </si>
  <si>
    <t>汐止區</t>
  </si>
  <si>
    <t>三峽區</t>
  </si>
  <si>
    <t>淡水區</t>
  </si>
  <si>
    <t>樹林區</t>
  </si>
  <si>
    <t>鶯歌區</t>
  </si>
  <si>
    <t>泰山區</t>
  </si>
  <si>
    <t>五股區</t>
  </si>
  <si>
    <t>八里區</t>
  </si>
  <si>
    <t>山區濱海區</t>
  </si>
  <si>
    <t>車輛配置（平均車輛）</t>
  </si>
  <si>
    <t>全區總用量（平日日均借車）</t>
  </si>
  <si>
    <t>上週</t>
  </si>
  <si>
    <t>總計</t>
  </si>
  <si>
    <t>車輛配置</t>
  </si>
  <si>
    <t>全區總用量</t>
  </si>
  <si>
    <t>台北市</t>
  </si>
  <si>
    <t>萬華51號公園</t>
  </si>
  <si>
    <t>捷運台北101/世貿站(2號出口)</t>
  </si>
  <si>
    <t>萬華區公所(大理街)</t>
  </si>
  <si>
    <t>捷運萬隆站(2號出口)</t>
  </si>
  <si>
    <t>捷運小巨蛋站(3號出口)</t>
  </si>
  <si>
    <t>大安運動中心</t>
  </si>
  <si>
    <t>敦化南路二段103巷口</t>
  </si>
  <si>
    <t>劍潭基河路口</t>
  </si>
  <si>
    <t>捷運內湖站(1號出口)</t>
  </si>
  <si>
    <t>捷運劍南路站(2號出口)</t>
  </si>
  <si>
    <t>捷運港墘站(1號出口)</t>
  </si>
  <si>
    <t>南港車站(市民大道)</t>
  </si>
  <si>
    <t>捷運大安站(4號出口)</t>
  </si>
  <si>
    <t>信義廣場(台北101)</t>
  </si>
  <si>
    <t>臨江街夜市(基隆路)</t>
  </si>
  <si>
    <t>捷運南京復興站(7號出口)</t>
  </si>
  <si>
    <t>捷運台北101/世貿站(5號出口)</t>
  </si>
  <si>
    <t>捷運台北101/世貿站(3號出口)</t>
  </si>
  <si>
    <t>復源公園</t>
  </si>
  <si>
    <t>捷運南京三民站(3號出口)</t>
  </si>
  <si>
    <t>捷運文德站(2號出口)</t>
  </si>
  <si>
    <t>捷運南京復興站(1號出口)</t>
  </si>
  <si>
    <t>捷運小巨蛋站(5號出口)_1</t>
  </si>
  <si>
    <t>中山堂</t>
  </si>
  <si>
    <t>嘉興街175巷口</t>
  </si>
  <si>
    <t>泰和公園</t>
  </si>
  <si>
    <t>捷運臺電大樓站(2號出口)</t>
  </si>
  <si>
    <t>景行公園</t>
  </si>
  <si>
    <t>捷運南京復興站(8號出口)</t>
  </si>
  <si>
    <t>萬華火車站(D2廣場)</t>
  </si>
  <si>
    <t>捷運大安站(5號出口)</t>
  </si>
  <si>
    <t>捷運南京三民站(4號出口)</t>
  </si>
  <si>
    <t>羅斯福路四段108巷口</t>
  </si>
  <si>
    <t>瑞湖陽光街口</t>
  </si>
  <si>
    <t>信義松智路口(東南側)</t>
  </si>
  <si>
    <t>捷運象山站(1號出口)</t>
  </si>
  <si>
    <t>捷運公館站(1號出口)</t>
  </si>
  <si>
    <t>復興南路二段273號前</t>
  </si>
  <si>
    <t>復興南路二段280號前</t>
  </si>
  <si>
    <t>捷運公館站(4號出口)</t>
  </si>
  <si>
    <t>捷運臺電大樓站(2號出口)_1</t>
  </si>
  <si>
    <t>捷運港墘站(2號出口)</t>
  </si>
  <si>
    <t>新生南路三段66號前</t>
  </si>
  <si>
    <t>捷運公館站(3號出口)</t>
  </si>
  <si>
    <t>新生南路三段82號前</t>
  </si>
  <si>
    <t>新生南路三段94巷口</t>
  </si>
  <si>
    <t>臺大動物醫院前</t>
  </si>
  <si>
    <t>基隆長興路口東側</t>
  </si>
  <si>
    <t>臺大男七舍前</t>
  </si>
  <si>
    <t>臺科大側門(基隆路四段73巷)</t>
  </si>
  <si>
    <t>羅斯福新生南路口</t>
  </si>
  <si>
    <t>臺大資訊大樓</t>
  </si>
  <si>
    <t>臺大社科院圖書館前</t>
  </si>
  <si>
    <t>臺大男六舍前</t>
  </si>
  <si>
    <t>新北市</t>
  </si>
  <si>
    <t>亞東醫院</t>
  </si>
  <si>
    <t>捷運頂溪站(中興街)</t>
  </si>
  <si>
    <t>捷運林口站(1號出口)</t>
  </si>
  <si>
    <t>捷運海山站(2號出口)</t>
  </si>
  <si>
    <t>捷運大坪林站(1號出口)</t>
  </si>
  <si>
    <t>捷運十四張站</t>
  </si>
  <si>
    <t>板橋四維公園</t>
  </si>
  <si>
    <t>捷運新北產業園區站</t>
  </si>
  <si>
    <t>中正民權路口</t>
  </si>
  <si>
    <t>新北市藝文中心</t>
  </si>
  <si>
    <t>新莊田徑場</t>
  </si>
  <si>
    <t>新北市政府(新站路)</t>
  </si>
  <si>
    <t>捷運江子翠站(6號出口)</t>
  </si>
  <si>
    <t>文德新海路口</t>
  </si>
  <si>
    <t>捷運府中站(3號出口)</t>
  </si>
  <si>
    <t>捷運新莊站(2號出口)</t>
  </si>
  <si>
    <t>捷運頭前庄站(1號出口)</t>
  </si>
  <si>
    <t>忠孝二文化二路口</t>
  </si>
  <si>
    <t>新莊體育館</t>
  </si>
  <si>
    <t>光復路一段15巷口</t>
  </si>
  <si>
    <t>新莊國民運動中心(和興街)</t>
  </si>
  <si>
    <t>捷運江子翠站(2號出口)</t>
  </si>
  <si>
    <t>捷運江子翠站(3號出口)</t>
  </si>
  <si>
    <t>新北市政府(新府路)</t>
  </si>
  <si>
    <t>板林溪北路口</t>
  </si>
  <si>
    <t>八德立體停車場</t>
  </si>
  <si>
    <t>捷運新埔站(1號出口)</t>
  </si>
  <si>
    <t>捷運三民高中站(2號出口)</t>
  </si>
  <si>
    <t>捷運新店區公所站(1號出口)</t>
  </si>
  <si>
    <t>昌隆國小</t>
  </si>
  <si>
    <t>江翠國中</t>
  </si>
  <si>
    <t>縣民觀光街口</t>
  </si>
  <si>
    <t>林口郵局</t>
  </si>
  <si>
    <t>縣民漢生東路口(西北側)</t>
  </si>
  <si>
    <t>廣福派出所</t>
  </si>
  <si>
    <t>板新中山路一段口</t>
  </si>
  <si>
    <t>保平路214巷</t>
  </si>
  <si>
    <t>永和國父紀念館</t>
  </si>
  <si>
    <t>捷運亞東醫院站(2號出口)</t>
  </si>
  <si>
    <t>碧華公園(集勇街)</t>
  </si>
  <si>
    <t>萬板文聖街口</t>
  </si>
  <si>
    <t>忠孝公園路口</t>
  </si>
  <si>
    <t>板橋中山公園</t>
  </si>
  <si>
    <t>捷運板橋站(3號出口)</t>
  </si>
  <si>
    <t>莊敬路25巷口</t>
  </si>
  <si>
    <t>捷運三和國中站(2號出口)</t>
  </si>
  <si>
    <t>新府區運路口</t>
  </si>
  <si>
    <t>捷運板橋站(1號出口)</t>
  </si>
  <si>
    <t>捷運江子翠站(1號出口)</t>
  </si>
  <si>
    <t>捷運七張站(1號出口)</t>
  </si>
  <si>
    <t>永福橋</t>
  </si>
  <si>
    <t>浮洲合宜住宅(樂群路)</t>
  </si>
  <si>
    <t>捷運頂溪站(2號出口)</t>
  </si>
  <si>
    <t>捷運土城站(1號出口)</t>
  </si>
  <si>
    <t>捷運三重國小站</t>
  </si>
  <si>
    <t>忠誠里(北新路2段97巷)</t>
  </si>
  <si>
    <t>莊敬公園</t>
  </si>
  <si>
    <t>中興中正路口(泰坤建設)</t>
  </si>
  <si>
    <t>中正路145巷口</t>
  </si>
  <si>
    <t>雙十萬板路口</t>
  </si>
  <si>
    <t>板橋重慶公園</t>
  </si>
  <si>
    <t>中山國中</t>
  </si>
  <si>
    <t>捷運新埔站(4號出口)</t>
  </si>
  <si>
    <t>永和耕莘醫院</t>
  </si>
  <si>
    <t>捷運新埔站(3號出口)</t>
  </si>
  <si>
    <t>中華自治街口</t>
  </si>
  <si>
    <t>捷運幸福站(2號出口)</t>
  </si>
  <si>
    <t>國隆大仁街口</t>
  </si>
  <si>
    <t>埤墘公園</t>
  </si>
  <si>
    <t>重慶路89巷</t>
  </si>
  <si>
    <t>大學學成路口</t>
  </si>
  <si>
    <t>仁愛公園(仁愛路)</t>
  </si>
  <si>
    <t>縣民民族路口</t>
  </si>
  <si>
    <t>新北市立圖書館新店分館</t>
  </si>
  <si>
    <t>文化路一段212巷口</t>
  </si>
  <si>
    <t>板橋地政事務所</t>
  </si>
  <si>
    <t>臺北醫院</t>
  </si>
  <si>
    <t>華江九華江一路口(匯翠社區)</t>
  </si>
  <si>
    <t>捷運新埔站(2號出口)</t>
  </si>
  <si>
    <t>捷運新埔站(5號出口)</t>
  </si>
  <si>
    <t>溪頭公園</t>
  </si>
  <si>
    <t>生態北公園</t>
  </si>
  <si>
    <t>新北市藝文中心(文化路二段124巷)</t>
  </si>
  <si>
    <t>中信停車場(中興街)</t>
  </si>
  <si>
    <t>廣福國小</t>
  </si>
  <si>
    <t>埔墘國小</t>
  </si>
  <si>
    <t>文化路二段182巷1弄</t>
  </si>
  <si>
    <t>永安公園</t>
  </si>
  <si>
    <t>松柏街15巷口</t>
  </si>
  <si>
    <t>江翠國小</t>
  </si>
  <si>
    <t>府中汽車停車場</t>
  </si>
  <si>
    <t>捷運輔大站(1號出口)</t>
  </si>
  <si>
    <t>捷運江子翠站(4號出口)</t>
  </si>
  <si>
    <t>國家電影及視聽文化中心</t>
  </si>
  <si>
    <t>捷運頂溪站(復興街1巷)</t>
  </si>
  <si>
    <t>文德國小(公館街)</t>
  </si>
  <si>
    <t>三重永豐公園</t>
  </si>
  <si>
    <t>龍門公園</t>
  </si>
  <si>
    <t>仁愛信義路口</t>
  </si>
  <si>
    <t>民生中山路口</t>
  </si>
  <si>
    <t>捷運江子翠站(5號出口)</t>
  </si>
  <si>
    <t>福和路7巷口</t>
  </si>
  <si>
    <t>民族路225巷</t>
  </si>
  <si>
    <t>夢奇地公園(文化路一段)</t>
  </si>
  <si>
    <t>自強溪尾街口</t>
  </si>
  <si>
    <t>興南路二段34巷口</t>
  </si>
  <si>
    <t>正德國中</t>
  </si>
  <si>
    <t>頂溪國小</t>
  </si>
  <si>
    <t>永豐公園活動中心</t>
  </si>
  <si>
    <t>介壽街/文化路一段188巷9弄口</t>
  </si>
  <si>
    <t>民權二十張路口</t>
  </si>
  <si>
    <t>林口高中</t>
  </si>
  <si>
    <t>飛駝社區(興南路)</t>
  </si>
  <si>
    <t>板橋福德公園</t>
  </si>
  <si>
    <t>淡江大學(水源街)</t>
  </si>
  <si>
    <t>石雕公園</t>
  </si>
  <si>
    <t>仁愛路40巷口</t>
  </si>
  <si>
    <t>捷運亞東醫院站(3號出口)</t>
  </si>
  <si>
    <t>四維公園地下停車場</t>
  </si>
  <si>
    <t>金城裕民路口(中正國中)</t>
  </si>
  <si>
    <t>忠孝國中地下停車場</t>
  </si>
  <si>
    <t>板橋和平公園</t>
  </si>
  <si>
    <t>浮洲合宜住宅(合安一合宜路口)</t>
  </si>
  <si>
    <t>板橋公車站</t>
  </si>
  <si>
    <t>板橋車站(新站路)</t>
  </si>
  <si>
    <t>華夏科技大學(華新街)</t>
  </si>
  <si>
    <t>捷運海山站(3號出口)</t>
  </si>
  <si>
    <t>捷運三和國中站(1號出口)</t>
  </si>
  <si>
    <t>板橋國小</t>
  </si>
  <si>
    <t>板橋車站</t>
  </si>
  <si>
    <t>致理科技大學</t>
  </si>
  <si>
    <t>輕軌淡江大學站</t>
  </si>
  <si>
    <t>新北高工(明德路)</t>
  </si>
  <si>
    <t>捷運環狀線板橋站(5號出口)</t>
  </si>
  <si>
    <t>捷運海山站(1號出口)</t>
  </si>
  <si>
    <t>健華新城社區</t>
  </si>
  <si>
    <t>臺鐵鳳鳴站</t>
  </si>
  <si>
    <t>YouBike A級場站　用量 × 見車率　平日比較（2026年 3月 vs 7月）</t>
  </si>
  <si>
    <t>※ 3月＝2026/3/1–3/31全部平日（22天，週一至週五，無國定假日）。</t>
  </si>
  <si>
    <t>※ 7月＝僅取代表日 7/8、7/9、7/22、7/23、7/24（5個平日）；用量與見車率皆只用這5天平均。</t>
  </si>
  <si>
    <t>YouBike A級場站　行政區彙總　平日比較（2026年 3月 vs 7月）</t>
  </si>
  <si>
    <t>※ 3月＝整月平日(22天)；7月＝代表日7/8、7/9、7/22–7/24(5天)。見車率差異為百分點(pp)。</t>
  </si>
  <si>
    <t>各行政區/分區　車輛配置 × 全區總用量　前後比較</t>
  </si>
  <si>
    <t>※ 車輛配置：前＝3月平均車輛、後＝上週平均車輛。總用量＝該區「全部場站」平日單日平均借車次數（依場站代號分區，含A級與非A級）。</t>
  </si>
  <si>
    <t>※ 3月＝整月平日(22天)；7月＝代表日7/8,7/9,7/22–24(5天)；上週為車輛數口徑。變化率＝(後－前)/前。含31個營運分區。</t>
  </si>
  <si>
    <t>※ 臺大公館校區、山區濱海區為營運分區（山區濱海含三芝/石門/石碇/平溪/金山/坪林/烏來/貢寮/深坑/萬里/瑞芳/雙溪）。</t>
  </si>
  <si>
    <t>各行政區　配置 × 總用量 × A級用量 × A級見車率　整合比較</t>
  </si>
  <si>
    <t>※ 僅列有A級場站之22區。車輛配置(3月→上週，全區)；全區總用量(全部場站)；A級用量與A級見車率(A級場站)。</t>
  </si>
  <si>
    <t>※ 3月＝整月平日；7月＝代表日(7/8,7/9,7/22–24)；上週為車輛數口徑。見車率為6–24時、差異為百分點(pp)。</t>
  </si>
  <si>
    <t>※ 總用量與A級用量並列，可看該區A級站占比與整體走勢是否一致；配置搭配總用量較A級更同口徑。</t>
  </si>
  <si>
    <t>3月</t>
  </si>
  <si>
    <t>7月</t>
  </si>
  <si>
    <t>A級合計 / 平均（191站）</t>
  </si>
  <si>
    <t>A級合計 / 平均</t>
  </si>
  <si>
    <t>3月
平均車輛</t>
  </si>
  <si>
    <t>行政區/分區</t>
  </si>
  <si>
    <t>A級用量</t>
  </si>
  <si>
    <t>A級見車率6–24時</t>
  </si>
  <si>
    <t>22區合計/平均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</si>
</sst>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2">
    <font>
      <sz val="11"/>
      <color theme="1"/>
      <name val="Calibri"/>
    </font>
    <font>
      <sz val="9"/>
      <name val="細明體"/>
      <family val="3"/>
      <charset val="136"/>
    </font>
    <font>
      <b/>
      <sz val="14"/>
      <color rgb="FFFFFFFF"/>
      <name val="Microsoft JhengHei"/>
      <family val="2"/>
      <charset val="136"/>
    </font>
    <font>
      <sz val="9"/>
      <color rgb="FF595959"/>
      <name val="Microsoft JhengHei"/>
      <family val="2"/>
      <charset val="136"/>
    </font>
    <font>
      <b/>
      <sz val="10"/>
      <color rgb="FFFFFFFF"/>
      <name val="Microsoft JhengHei"/>
      <family val="2"/>
      <charset val="136"/>
    </font>
    <font>
      <b/>
      <sz val="9"/>
      <color rgb="FF000000"/>
      <name val="Microsoft JhengHei"/>
      <family val="2"/>
      <charset val="136"/>
    </font>
    <font>
      <sz val="9"/>
      <color rgb="FF000000"/>
      <name val="Microsoft JhengHei"/>
      <family val="2"/>
      <charset val="136"/>
    </font>
    <font>
      <b/>
      <sz val="9"/>
      <color rgb="FFFFFFFF"/>
      <name val="Microsoft JhengHei"/>
      <family val="2"/>
      <charset val="136"/>
    </font>
    <font>
      <sz val="9"/>
      <color theme="1"/>
      <name val="Microsoft JhengHei"/>
      <family val="2"/>
      <charset val="136"/>
    </font>
    <font>
      <sz val="14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Microsoft JhengHei"/>
      <family val="2"/>
      <charset val="136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1F7A4D"/>
      </patternFill>
    </fill>
    <fill>
      <patternFill patternType="solid">
        <fgColor rgb="FF2E8B57"/>
      </patternFill>
    </fill>
    <fill>
      <patternFill patternType="solid">
        <fgColor rgb="FF3CA06A"/>
      </patternFill>
    </fill>
    <fill>
      <patternFill patternType="solid">
        <fgColor rgb="FFD6E0F0"/>
      </patternFill>
    </fill>
    <fill>
      <patternFill patternType="solid">
        <fgColor rgb="FFD6EBDD"/>
      </patternFill>
    </fill>
    <fill>
      <patternFill patternType="solid">
        <fgColor rgb="FFF5F7FA"/>
      </patternFill>
    </fill>
    <fill>
      <patternFill patternType="solid">
        <fgColor rgb="FFC9D6EC"/>
      </patternFill>
    </fill>
    <fill>
      <patternFill patternType="solid">
        <fgColor rgb="FFE3EAF6"/>
      </patternFill>
    </fill>
    <fill>
      <patternFill patternType="solid">
        <fgColor rgb="FF7A4D1F"/>
      </patternFill>
    </fill>
    <fill>
      <patternFill patternType="solid">
        <fgColor rgb="FFB7791F"/>
      </patternFill>
    </fill>
    <fill>
      <patternFill patternType="solid">
        <fgColor rgb="FFEFE3D6"/>
      </patternFill>
    </fill>
    <fill>
      <patternFill patternType="solid">
        <fgColor rgb="FFFAEFD9"/>
      </patternFill>
    </fill>
  </fills>
  <borders count="4">
    <border>
      <left/>
      <right/>
      <top/>
      <bottom/>
      <diagonal/>
    </border>
    <border>
      <left style="thin">
        <color rgb="FFC4C4C4"/>
      </left>
      <right style="thin">
        <color rgb="FFC4C4C4"/>
      </right>
      <top style="thin">
        <color rgb="FFC4C4C4"/>
      </top>
      <bottom/>
      <diagonal/>
    </border>
    <border>
      <left style="thin">
        <color rgb="FFC4C4C4"/>
      </left>
      <right/>
      <top style="thin">
        <color rgb="FFC4C4C4"/>
      </top>
      <bottom style="thin">
        <color rgb="FFC4C4C4"/>
      </bottom>
      <diagonal/>
    </border>
    <border>
      <left style="thin">
        <color rgb="FFC4C4C4"/>
      </left>
      <right style="thin">
        <color rgb="FFC4C4C4"/>
      </right>
      <top style="thin">
        <color rgb="FFC4C4C4"/>
      </top>
      <bottom style="thin">
        <color rgb="FFC4C4C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/>
    <xf numFmtId="3" fontId="6" fillId="0" borderId="3" xfId="0" applyNumberFormat="1" applyFont="1" applyBorder="1"/>
    <xf numFmtId="176" fontId="6" fillId="0" borderId="3" xfId="0" applyNumberFormat="1" applyFont="1" applyBorder="1"/>
    <xf numFmtId="0" fontId="6" fillId="9" borderId="3" xfId="0" applyFont="1" applyFill="1" applyBorder="1" applyAlignment="1">
      <alignment horizontal="center" vertical="center"/>
    </xf>
    <xf numFmtId="0" fontId="6" fillId="9" borderId="3" xfId="0" applyFont="1" applyFill="1" applyBorder="1"/>
    <xf numFmtId="3" fontId="6" fillId="9" borderId="3" xfId="0" applyNumberFormat="1" applyFont="1" applyFill="1" applyBorder="1"/>
    <xf numFmtId="176" fontId="6" fillId="9" borderId="3" xfId="0" applyNumberFormat="1" applyFont="1" applyFill="1" applyBorder="1"/>
    <xf numFmtId="3" fontId="5" fillId="10" borderId="3" xfId="0" applyNumberFormat="1" applyFont="1" applyFill="1" applyBorder="1"/>
    <xf numFmtId="176" fontId="5" fillId="10" borderId="3" xfId="0" applyNumberFormat="1" applyFont="1" applyFill="1" applyBorder="1"/>
    <xf numFmtId="0" fontId="5" fillId="11" borderId="3" xfId="0" applyFont="1" applyFill="1" applyBorder="1" applyAlignment="1">
      <alignment horizontal="center" vertical="center"/>
    </xf>
    <xf numFmtId="3" fontId="5" fillId="11" borderId="3" xfId="0" applyNumberFormat="1" applyFont="1" applyFill="1" applyBorder="1"/>
    <xf numFmtId="176" fontId="5" fillId="11" borderId="3" xfId="0" applyNumberFormat="1" applyFont="1" applyFill="1" applyBorder="1"/>
    <xf numFmtId="0" fontId="5" fillId="10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11" borderId="3" xfId="0" applyFont="1" applyFill="1" applyBorder="1" applyAlignment="1">
      <alignment horizontal="right" vertical="center"/>
    </xf>
    <xf numFmtId="0" fontId="4" fillId="12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8" fillId="0" borderId="0" xfId="0" applyFont="1"/>
    <xf numFmtId="3" fontId="8" fillId="0" borderId="0" xfId="0" applyNumberFormat="1" applyFont="1"/>
    <xf numFmtId="0" fontId="7" fillId="2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3" fontId="6" fillId="0" borderId="3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horizontal="center" vertical="center"/>
    </xf>
    <xf numFmtId="0" fontId="6" fillId="9" borderId="3" xfId="0" applyFont="1" applyFill="1" applyBorder="1" applyAlignment="1">
      <alignment horizontal="left" vertical="center"/>
    </xf>
    <xf numFmtId="3" fontId="6" fillId="9" borderId="3" xfId="0" applyNumberFormat="1" applyFont="1" applyFill="1" applyBorder="1" applyAlignment="1">
      <alignment horizontal="center" vertical="center"/>
    </xf>
    <xf numFmtId="176" fontId="6" fillId="9" borderId="3" xfId="0" applyNumberFormat="1" applyFont="1" applyFill="1" applyBorder="1" applyAlignment="1">
      <alignment horizontal="center" vertical="center"/>
    </xf>
    <xf numFmtId="3" fontId="5" fillId="11" borderId="3" xfId="0" applyNumberFormat="1" applyFont="1" applyFill="1" applyBorder="1" applyAlignment="1">
      <alignment horizontal="center" vertical="center"/>
    </xf>
    <xf numFmtId="176" fontId="5" fillId="11" borderId="3" xfId="0" applyNumberFormat="1" applyFont="1" applyFill="1" applyBorder="1" applyAlignment="1">
      <alignment horizontal="center" vertical="center"/>
    </xf>
    <xf numFmtId="3" fontId="5" fillId="10" borderId="3" xfId="0" applyNumberFormat="1" applyFont="1" applyFill="1" applyBorder="1" applyAlignment="1">
      <alignment horizontal="center" vertical="center"/>
    </xf>
    <xf numFmtId="176" fontId="5" fillId="10" borderId="3" xfId="0" applyNumberFormat="1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wrapText="1"/>
    </xf>
  </cellXfs>
  <cellStyles count="1">
    <cellStyle name="一般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1F7A4D"/>
      <rgbColor rgb="FFC4C4C4"/>
      <rgbColor rgb="FF808080"/>
      <rgbColor rgb="FF9999FF"/>
      <rgbColor rgb="FF993366"/>
      <rgbColor rgb="FFFAEFD9"/>
      <rgbColor rgb="FFE3EAF6"/>
      <rgbColor rgb="FF660066"/>
      <rgbColor rgb="FFFF8080"/>
      <rgbColor rgb="FF0066CC"/>
      <rgbColor rgb="FFC9D6EC"/>
      <rgbColor rgb="FF000080"/>
      <rgbColor rgb="FFFF00FF"/>
      <rgbColor rgb="FFFFFF00"/>
      <rgbColor rgb="FF00FFFF"/>
      <rgbColor rgb="FF800080"/>
      <rgbColor rgb="FF800000"/>
      <rgbColor rgb="FF2E8B57"/>
      <rgbColor rgb="FF0000FF"/>
      <rgbColor rgb="FF00CCFF"/>
      <rgbColor rgb="FFF5F7FA"/>
      <rgbColor rgb="FFD6EBDD"/>
      <rgbColor rgb="FFFFFF99"/>
      <rgbColor rgb="FFD6E0F0"/>
      <rgbColor rgb="FFFF99CC"/>
      <rgbColor rgb="FFCC99FF"/>
      <rgbColor rgb="FFEFE3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CA06A"/>
      <rgbColor rgb="FF003300"/>
      <rgbColor rgb="FF333300"/>
      <rgbColor rgb="FF7A4D1F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showGridLines="0" tabSelected="1" workbookViewId="0">
      <selection sqref="A1:Q1"/>
    </sheetView>
  </sheetViews>
  <sheetFormatPr defaultColWidth="8.5703125" defaultRowHeight="15"/>
  <cols>
    <col min="1" max="1" width="5" customWidth="1"/>
    <col min="2" max="2" width="7" customWidth="1"/>
    <col min="3" max="3" width="9" customWidth="1"/>
    <col min="4" max="4" width="30" customWidth="1"/>
    <col min="5" max="17" width="8.42578125" customWidth="1"/>
  </cols>
  <sheetData>
    <row r="1" spans="1:17" s="47" customFormat="1" ht="24" customHeight="1">
      <c r="A1" s="27" t="s">
        <v>250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 ht="18" customHeight="1">
      <c r="A2" s="22" t="s">
        <v>251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</row>
    <row r="3" spans="1:17" ht="18" customHeight="1">
      <c r="A3" s="22" t="s">
        <v>252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spans="1:17" ht="18" customHeight="1">
      <c r="A4" s="22" t="s">
        <v>0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spans="1:17" ht="18" customHeight="1">
      <c r="A5" s="22" t="s">
        <v>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spans="1:17" ht="18" customHeight="1">
      <c r="A6" s="22" t="s">
        <v>2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spans="1:17" s="48" customFormat="1" ht="18" customHeight="1">
      <c r="A7" s="33" t="s">
        <v>3</v>
      </c>
      <c r="B7" s="33" t="s">
        <v>4</v>
      </c>
      <c r="C7" s="33" t="s">
        <v>5</v>
      </c>
      <c r="D7" s="33" t="s">
        <v>6</v>
      </c>
      <c r="E7" s="23" t="s">
        <v>7</v>
      </c>
      <c r="F7" s="23"/>
      <c r="G7" s="23"/>
      <c r="H7" s="23"/>
      <c r="I7" s="24" t="s">
        <v>8</v>
      </c>
      <c r="J7" s="24"/>
      <c r="K7" s="24"/>
      <c r="L7" s="25" t="s">
        <v>9</v>
      </c>
      <c r="M7" s="25"/>
      <c r="N7" s="25"/>
      <c r="O7" s="26" t="s">
        <v>10</v>
      </c>
      <c r="P7" s="26"/>
      <c r="Q7" s="26"/>
    </row>
    <row r="8" spans="1:17" ht="15" customHeight="1">
      <c r="A8" s="33"/>
      <c r="B8" s="33"/>
      <c r="C8" s="33"/>
      <c r="D8" s="33"/>
      <c r="E8" s="1" t="s">
        <v>263</v>
      </c>
      <c r="F8" s="1" t="s">
        <v>264</v>
      </c>
      <c r="G8" s="1" t="s">
        <v>11</v>
      </c>
      <c r="H8" s="1" t="s">
        <v>12</v>
      </c>
      <c r="I8" s="2" t="s">
        <v>263</v>
      </c>
      <c r="J8" s="2" t="s">
        <v>264</v>
      </c>
      <c r="K8" s="2" t="s">
        <v>11</v>
      </c>
      <c r="L8" s="2" t="s">
        <v>263</v>
      </c>
      <c r="M8" s="2" t="s">
        <v>264</v>
      </c>
      <c r="N8" s="2" t="s">
        <v>11</v>
      </c>
      <c r="O8" s="2" t="s">
        <v>263</v>
      </c>
      <c r="P8" s="2" t="s">
        <v>264</v>
      </c>
      <c r="Q8" s="2" t="s">
        <v>11</v>
      </c>
    </row>
    <row r="9" spans="1:17">
      <c r="A9" s="3">
        <v>1</v>
      </c>
      <c r="B9" s="3" t="s">
        <v>57</v>
      </c>
      <c r="C9" s="3" t="s">
        <v>31</v>
      </c>
      <c r="D9" s="4" t="s">
        <v>58</v>
      </c>
      <c r="E9" s="5">
        <v>231.3</v>
      </c>
      <c r="F9" s="5">
        <v>405.2</v>
      </c>
      <c r="G9" s="5">
        <f t="shared" ref="G9:G40" si="0">IF(OR(E9="",F9=""),"",F9-E9)</f>
        <v>173.89999999999998</v>
      </c>
      <c r="H9" s="6">
        <f t="shared" ref="H9:H40" si="1">IF(OR(E9="",F9="",E9=0),"",(F9-E9)/E9)</f>
        <v>0.75183744055339374</v>
      </c>
      <c r="I9" s="6">
        <v>0.79385429292929299</v>
      </c>
      <c r="J9" s="6">
        <v>0.86129555555555604</v>
      </c>
      <c r="K9" s="6">
        <f t="shared" ref="K9:K40" si="2">IF(OR(I9="",J9=""),"",J9-I9)</f>
        <v>6.7441262626263043E-2</v>
      </c>
      <c r="L9" s="6">
        <v>0.98787727272727299</v>
      </c>
      <c r="M9" s="6">
        <v>0.98555333333333295</v>
      </c>
      <c r="N9" s="6">
        <f t="shared" ref="N9:N40" si="3">IF(OR(L9="",M9=""),"",M9-L9)</f>
        <v>-2.3239393939400443E-3</v>
      </c>
      <c r="O9" s="6">
        <v>0.64393484848484905</v>
      </c>
      <c r="P9" s="6">
        <v>0.82999333333333303</v>
      </c>
      <c r="Q9" s="6">
        <f t="shared" ref="Q9:Q40" si="4">IF(OR(O9="",P9=""),"",P9-O9)</f>
        <v>0.18605848484848397</v>
      </c>
    </row>
    <row r="10" spans="1:17">
      <c r="A10" s="7">
        <v>2</v>
      </c>
      <c r="B10" s="7" t="s">
        <v>57</v>
      </c>
      <c r="C10" s="7" t="s">
        <v>22</v>
      </c>
      <c r="D10" s="8" t="s">
        <v>59</v>
      </c>
      <c r="E10" s="9">
        <v>577.5</v>
      </c>
      <c r="F10" s="9">
        <v>749.8</v>
      </c>
      <c r="G10" s="9">
        <f t="shared" si="0"/>
        <v>172.29999999999995</v>
      </c>
      <c r="H10" s="10">
        <f t="shared" si="1"/>
        <v>0.29835497835497826</v>
      </c>
      <c r="I10" s="10">
        <v>0.87091792929292899</v>
      </c>
      <c r="J10" s="10">
        <v>0.90963111111111095</v>
      </c>
      <c r="K10" s="10">
        <f t="shared" si="2"/>
        <v>3.8713181818181952E-2</v>
      </c>
      <c r="L10" s="10">
        <v>0.99596060606060599</v>
      </c>
      <c r="M10" s="10">
        <v>1</v>
      </c>
      <c r="N10" s="10">
        <f t="shared" si="3"/>
        <v>4.0393939393940093E-3</v>
      </c>
      <c r="O10" s="10">
        <v>0.890401515151515</v>
      </c>
      <c r="P10" s="10">
        <v>0.88111333333333297</v>
      </c>
      <c r="Q10" s="10">
        <f t="shared" si="4"/>
        <v>-9.2881818181820286E-3</v>
      </c>
    </row>
    <row r="11" spans="1:17">
      <c r="A11" s="3">
        <v>3</v>
      </c>
      <c r="B11" s="3" t="s">
        <v>57</v>
      </c>
      <c r="C11" s="3" t="s">
        <v>31</v>
      </c>
      <c r="D11" s="4" t="s">
        <v>60</v>
      </c>
      <c r="E11" s="5">
        <v>371</v>
      </c>
      <c r="F11" s="5">
        <v>539.79999999999995</v>
      </c>
      <c r="G11" s="5">
        <f t="shared" si="0"/>
        <v>168.79999999999995</v>
      </c>
      <c r="H11" s="6">
        <f t="shared" si="1"/>
        <v>0.45498652291105107</v>
      </c>
      <c r="I11" s="6">
        <v>0.81515075757575695</v>
      </c>
      <c r="J11" s="6">
        <v>0.82184999999999997</v>
      </c>
      <c r="K11" s="6">
        <f t="shared" si="2"/>
        <v>6.6992424242430237E-3</v>
      </c>
      <c r="L11" s="6">
        <v>0.99974696969696997</v>
      </c>
      <c r="M11" s="6">
        <v>0.98444666666666703</v>
      </c>
      <c r="N11" s="6">
        <f t="shared" si="3"/>
        <v>-1.5300303030302942E-2</v>
      </c>
      <c r="O11" s="6">
        <v>0.69772575757575805</v>
      </c>
      <c r="P11" s="6">
        <v>0.70998666666666699</v>
      </c>
      <c r="Q11" s="6">
        <f t="shared" si="4"/>
        <v>1.2260909090908934E-2</v>
      </c>
    </row>
    <row r="12" spans="1:17">
      <c r="A12" s="7">
        <v>4</v>
      </c>
      <c r="B12" s="7" t="s">
        <v>57</v>
      </c>
      <c r="C12" s="7" t="s">
        <v>32</v>
      </c>
      <c r="D12" s="8" t="s">
        <v>61</v>
      </c>
      <c r="E12" s="9">
        <v>333</v>
      </c>
      <c r="F12" s="9">
        <v>464.6</v>
      </c>
      <c r="G12" s="9">
        <f t="shared" si="0"/>
        <v>131.60000000000002</v>
      </c>
      <c r="H12" s="10">
        <f t="shared" si="1"/>
        <v>0.39519519519519525</v>
      </c>
      <c r="I12" s="10">
        <v>0.85660858585858601</v>
      </c>
      <c r="J12" s="10">
        <v>0.92018444444444503</v>
      </c>
      <c r="K12" s="10">
        <f t="shared" si="2"/>
        <v>6.3575858585859013E-2</v>
      </c>
      <c r="L12" s="10">
        <v>0.99848484848484798</v>
      </c>
      <c r="M12" s="10">
        <v>0.97887999999999997</v>
      </c>
      <c r="N12" s="10">
        <f t="shared" si="3"/>
        <v>-1.9604848484848003E-2</v>
      </c>
      <c r="O12" s="10">
        <v>0.81566060606060597</v>
      </c>
      <c r="P12" s="10">
        <v>0.92333333333333401</v>
      </c>
      <c r="Q12" s="10">
        <f t="shared" si="4"/>
        <v>0.10767272727272803</v>
      </c>
    </row>
    <row r="13" spans="1:17">
      <c r="A13" s="3">
        <v>5</v>
      </c>
      <c r="B13" s="3" t="s">
        <v>57</v>
      </c>
      <c r="C13" s="3" t="s">
        <v>23</v>
      </c>
      <c r="D13" s="4" t="s">
        <v>62</v>
      </c>
      <c r="E13" s="5">
        <v>384.8</v>
      </c>
      <c r="F13" s="5">
        <v>502.2</v>
      </c>
      <c r="G13" s="5">
        <f t="shared" si="0"/>
        <v>117.39999999999998</v>
      </c>
      <c r="H13" s="6">
        <f t="shared" si="1"/>
        <v>0.30509355509355501</v>
      </c>
      <c r="I13" s="6">
        <v>0.86843459595959605</v>
      </c>
      <c r="J13" s="6">
        <v>0.84222333333333299</v>
      </c>
      <c r="K13" s="6">
        <f t="shared" si="2"/>
        <v>-2.6211262626263054E-2</v>
      </c>
      <c r="L13" s="6">
        <v>0.92828030303030296</v>
      </c>
      <c r="M13" s="6">
        <v>0.82</v>
      </c>
      <c r="N13" s="6">
        <f t="shared" si="3"/>
        <v>-0.108280303030303</v>
      </c>
      <c r="O13" s="6">
        <v>0.92045303030303005</v>
      </c>
      <c r="P13" s="6">
        <v>0.94777333333333302</v>
      </c>
      <c r="Q13" s="6">
        <f t="shared" si="4"/>
        <v>2.7320303030302973E-2</v>
      </c>
    </row>
    <row r="14" spans="1:17">
      <c r="A14" s="7">
        <v>6</v>
      </c>
      <c r="B14" s="7" t="s">
        <v>57</v>
      </c>
      <c r="C14" s="7" t="s">
        <v>20</v>
      </c>
      <c r="D14" s="8" t="s">
        <v>63</v>
      </c>
      <c r="E14" s="9">
        <v>296.7</v>
      </c>
      <c r="F14" s="9">
        <v>414</v>
      </c>
      <c r="G14" s="9">
        <f t="shared" si="0"/>
        <v>117.30000000000001</v>
      </c>
      <c r="H14" s="10">
        <f t="shared" si="1"/>
        <v>0.39534883720930236</v>
      </c>
      <c r="I14" s="10">
        <v>0.89090757575757595</v>
      </c>
      <c r="J14" s="10">
        <v>0.933704444444444</v>
      </c>
      <c r="K14" s="10">
        <f t="shared" si="2"/>
        <v>4.279686868686805E-2</v>
      </c>
      <c r="L14" s="10">
        <v>0.98560606060606104</v>
      </c>
      <c r="M14" s="10">
        <v>1</v>
      </c>
      <c r="N14" s="10">
        <f t="shared" si="3"/>
        <v>1.4393939393938959E-2</v>
      </c>
      <c r="O14" s="10">
        <v>0.849743939393939</v>
      </c>
      <c r="P14" s="10">
        <v>0.94777333333333302</v>
      </c>
      <c r="Q14" s="10">
        <f t="shared" si="4"/>
        <v>9.8029393939394027E-2</v>
      </c>
    </row>
    <row r="15" spans="1:17">
      <c r="A15" s="3">
        <v>7</v>
      </c>
      <c r="B15" s="3" t="s">
        <v>57</v>
      </c>
      <c r="C15" s="3" t="s">
        <v>20</v>
      </c>
      <c r="D15" s="4" t="s">
        <v>64</v>
      </c>
      <c r="E15" s="5">
        <v>335.1</v>
      </c>
      <c r="F15" s="5">
        <v>440.2</v>
      </c>
      <c r="G15" s="5">
        <f t="shared" si="0"/>
        <v>105.09999999999997</v>
      </c>
      <c r="H15" s="6">
        <f t="shared" si="1"/>
        <v>0.313637720083557</v>
      </c>
      <c r="I15" s="6">
        <v>0.83190227272727302</v>
      </c>
      <c r="J15" s="6">
        <v>0.90037222222222202</v>
      </c>
      <c r="K15" s="6">
        <f t="shared" si="2"/>
        <v>6.8469949494949001E-2</v>
      </c>
      <c r="L15" s="6">
        <v>0.98661666666666703</v>
      </c>
      <c r="M15" s="6">
        <v>0.99778</v>
      </c>
      <c r="N15" s="6">
        <f t="shared" si="3"/>
        <v>1.116333333333297E-2</v>
      </c>
      <c r="O15" s="6">
        <v>0.73181818181818203</v>
      </c>
      <c r="P15" s="6">
        <v>0.86666666666666703</v>
      </c>
      <c r="Q15" s="6">
        <f t="shared" si="4"/>
        <v>0.134848484848485</v>
      </c>
    </row>
    <row r="16" spans="1:17">
      <c r="A16" s="7">
        <v>8</v>
      </c>
      <c r="B16" s="7" t="s">
        <v>57</v>
      </c>
      <c r="C16" s="7" t="s">
        <v>27</v>
      </c>
      <c r="D16" s="8" t="s">
        <v>65</v>
      </c>
      <c r="E16" s="9">
        <v>476.7</v>
      </c>
      <c r="F16" s="9">
        <v>580.4</v>
      </c>
      <c r="G16" s="9">
        <f t="shared" si="0"/>
        <v>103.69999999999999</v>
      </c>
      <c r="H16" s="10">
        <f t="shared" si="1"/>
        <v>0.21753723515838053</v>
      </c>
      <c r="I16" s="10">
        <v>0.897516919191919</v>
      </c>
      <c r="J16" s="10">
        <v>0.96074111111111105</v>
      </c>
      <c r="K16" s="10">
        <f t="shared" si="2"/>
        <v>6.3224191919192041E-2</v>
      </c>
      <c r="L16" s="10">
        <v>1</v>
      </c>
      <c r="M16" s="10">
        <v>1</v>
      </c>
      <c r="N16" s="10">
        <f t="shared" si="3"/>
        <v>0</v>
      </c>
      <c r="O16" s="10">
        <v>0.92121060606060601</v>
      </c>
      <c r="P16" s="10">
        <v>0.98444666666666703</v>
      </c>
      <c r="Q16" s="10">
        <f t="shared" si="4"/>
        <v>6.3236060606061018E-2</v>
      </c>
    </row>
    <row r="17" spans="1:17">
      <c r="A17" s="3">
        <v>9</v>
      </c>
      <c r="B17" s="3" t="s">
        <v>57</v>
      </c>
      <c r="C17" s="3" t="s">
        <v>25</v>
      </c>
      <c r="D17" s="4" t="s">
        <v>66</v>
      </c>
      <c r="E17" s="5">
        <v>256</v>
      </c>
      <c r="F17" s="5">
        <v>358.6</v>
      </c>
      <c r="G17" s="5">
        <f t="shared" si="0"/>
        <v>102.60000000000002</v>
      </c>
      <c r="H17" s="6">
        <f t="shared" si="1"/>
        <v>0.40078125000000009</v>
      </c>
      <c r="I17" s="6">
        <v>0.88758484848484898</v>
      </c>
      <c r="J17" s="6">
        <v>0.94962999999999997</v>
      </c>
      <c r="K17" s="6">
        <f t="shared" si="2"/>
        <v>6.2045151515150998E-2</v>
      </c>
      <c r="L17" s="6">
        <v>0.99747575757575802</v>
      </c>
      <c r="M17" s="6">
        <v>0.98555333333333295</v>
      </c>
      <c r="N17" s="6">
        <f t="shared" si="3"/>
        <v>-1.1922424242425067E-2</v>
      </c>
      <c r="O17" s="6">
        <v>0.91111212121212104</v>
      </c>
      <c r="P17" s="6">
        <v>1</v>
      </c>
      <c r="Q17" s="6">
        <f t="shared" si="4"/>
        <v>8.888787878787896E-2</v>
      </c>
    </row>
    <row r="18" spans="1:17">
      <c r="A18" s="7">
        <v>10</v>
      </c>
      <c r="B18" s="7" t="s">
        <v>57</v>
      </c>
      <c r="C18" s="7" t="s">
        <v>21</v>
      </c>
      <c r="D18" s="8" t="s">
        <v>67</v>
      </c>
      <c r="E18" s="9">
        <v>390.4</v>
      </c>
      <c r="F18" s="9">
        <v>488</v>
      </c>
      <c r="G18" s="9">
        <f t="shared" si="0"/>
        <v>97.600000000000023</v>
      </c>
      <c r="H18" s="10">
        <f t="shared" si="1"/>
        <v>0.25000000000000006</v>
      </c>
      <c r="I18" s="10">
        <v>0.897011868686869</v>
      </c>
      <c r="J18" s="10">
        <v>0.93666444444444497</v>
      </c>
      <c r="K18" s="10">
        <f t="shared" si="2"/>
        <v>3.965257575757597E-2</v>
      </c>
      <c r="L18" s="10">
        <v>0.99823181818181805</v>
      </c>
      <c r="M18" s="10">
        <v>1</v>
      </c>
      <c r="N18" s="10">
        <f t="shared" si="3"/>
        <v>1.7681818181819464E-3</v>
      </c>
      <c r="O18" s="10">
        <v>0.91818030303030296</v>
      </c>
      <c r="P18" s="10">
        <v>1</v>
      </c>
      <c r="Q18" s="10">
        <f t="shared" si="4"/>
        <v>8.1819696969697042E-2</v>
      </c>
    </row>
    <row r="19" spans="1:17">
      <c r="A19" s="3">
        <v>11</v>
      </c>
      <c r="B19" s="3" t="s">
        <v>57</v>
      </c>
      <c r="C19" s="3" t="s">
        <v>25</v>
      </c>
      <c r="D19" s="4" t="s">
        <v>68</v>
      </c>
      <c r="E19" s="5">
        <v>351.7</v>
      </c>
      <c r="F19" s="5">
        <v>448.2</v>
      </c>
      <c r="G19" s="5">
        <f t="shared" si="0"/>
        <v>96.5</v>
      </c>
      <c r="H19" s="6">
        <f t="shared" si="1"/>
        <v>0.27438157520614159</v>
      </c>
      <c r="I19" s="6">
        <v>0.87251590909090904</v>
      </c>
      <c r="J19" s="6">
        <v>0.89703444444444502</v>
      </c>
      <c r="K19" s="6">
        <f t="shared" si="2"/>
        <v>2.4518535353535986E-2</v>
      </c>
      <c r="L19" s="6">
        <v>0.89520303030302995</v>
      </c>
      <c r="M19" s="6">
        <v>0.88778000000000001</v>
      </c>
      <c r="N19" s="6">
        <f t="shared" si="3"/>
        <v>-7.4230303030299316E-3</v>
      </c>
      <c r="O19" s="6">
        <v>0.91111060606060601</v>
      </c>
      <c r="P19" s="6">
        <v>1</v>
      </c>
      <c r="Q19" s="6">
        <f t="shared" si="4"/>
        <v>8.888939393939399E-2</v>
      </c>
    </row>
    <row r="20" spans="1:17">
      <c r="A20" s="7">
        <v>12</v>
      </c>
      <c r="B20" s="7" t="s">
        <v>57</v>
      </c>
      <c r="C20" s="7" t="s">
        <v>30</v>
      </c>
      <c r="D20" s="8" t="s">
        <v>69</v>
      </c>
      <c r="E20" s="9">
        <v>378.6</v>
      </c>
      <c r="F20" s="9">
        <v>471.4</v>
      </c>
      <c r="G20" s="9">
        <f t="shared" si="0"/>
        <v>92.799999999999955</v>
      </c>
      <c r="H20" s="10">
        <f t="shared" si="1"/>
        <v>0.24511357633386147</v>
      </c>
      <c r="I20" s="10">
        <v>0.89696868686868703</v>
      </c>
      <c r="J20" s="10">
        <v>0.89222333333333403</v>
      </c>
      <c r="K20" s="10">
        <f t="shared" si="2"/>
        <v>-4.7453535353529919E-3</v>
      </c>
      <c r="L20" s="10">
        <v>0.75076060606060602</v>
      </c>
      <c r="M20" s="10">
        <v>0.72777333333333305</v>
      </c>
      <c r="N20" s="10">
        <f t="shared" si="3"/>
        <v>-2.2987272727272967E-2</v>
      </c>
      <c r="O20" s="10">
        <v>0.99974696969696997</v>
      </c>
      <c r="P20" s="10">
        <v>1</v>
      </c>
      <c r="Q20" s="10">
        <f t="shared" si="4"/>
        <v>2.5303030303003293E-4</v>
      </c>
    </row>
    <row r="21" spans="1:17">
      <c r="A21" s="3">
        <v>13</v>
      </c>
      <c r="B21" s="3" t="s">
        <v>57</v>
      </c>
      <c r="C21" s="3" t="s">
        <v>20</v>
      </c>
      <c r="D21" s="4" t="s">
        <v>70</v>
      </c>
      <c r="E21" s="5">
        <v>714.2</v>
      </c>
      <c r="F21" s="5">
        <v>799.8</v>
      </c>
      <c r="G21" s="5">
        <f t="shared" si="0"/>
        <v>85.599999999999909</v>
      </c>
      <c r="H21" s="6">
        <f t="shared" si="1"/>
        <v>0.11985438252590297</v>
      </c>
      <c r="I21" s="6">
        <v>0.82790505050505003</v>
      </c>
      <c r="J21" s="6">
        <v>0.85795999999999994</v>
      </c>
      <c r="K21" s="6">
        <f t="shared" si="2"/>
        <v>3.0054949494949912E-2</v>
      </c>
      <c r="L21" s="6">
        <v>0.85378787878787898</v>
      </c>
      <c r="M21" s="6">
        <v>0.84111333333333305</v>
      </c>
      <c r="N21" s="6">
        <f t="shared" si="3"/>
        <v>-1.2674545454545938E-2</v>
      </c>
      <c r="O21" s="6">
        <v>0.91111212121212104</v>
      </c>
      <c r="P21" s="6">
        <v>0.97666666666666702</v>
      </c>
      <c r="Q21" s="6">
        <f t="shared" si="4"/>
        <v>6.5554545454545976E-2</v>
      </c>
    </row>
    <row r="22" spans="1:17">
      <c r="A22" s="7">
        <v>14</v>
      </c>
      <c r="B22" s="7" t="s">
        <v>57</v>
      </c>
      <c r="C22" s="7" t="s">
        <v>22</v>
      </c>
      <c r="D22" s="8" t="s">
        <v>71</v>
      </c>
      <c r="E22" s="9">
        <v>277.2</v>
      </c>
      <c r="F22" s="9">
        <v>361</v>
      </c>
      <c r="G22" s="9">
        <f t="shared" si="0"/>
        <v>83.800000000000011</v>
      </c>
      <c r="H22" s="10">
        <f t="shared" si="1"/>
        <v>0.30230880230880236</v>
      </c>
      <c r="I22" s="10">
        <v>0.84873838383838396</v>
      </c>
      <c r="J22" s="10">
        <v>1</v>
      </c>
      <c r="K22" s="10">
        <f t="shared" si="2"/>
        <v>0.15126161616161604</v>
      </c>
      <c r="L22" s="10">
        <v>0.97954696969696997</v>
      </c>
      <c r="M22" s="10">
        <v>1</v>
      </c>
      <c r="N22" s="10">
        <f t="shared" si="3"/>
        <v>2.0453030303030029E-2</v>
      </c>
      <c r="O22" s="10">
        <v>0.86414545454545399</v>
      </c>
      <c r="P22" s="10">
        <v>1</v>
      </c>
      <c r="Q22" s="10">
        <f t="shared" si="4"/>
        <v>0.13585454545454601</v>
      </c>
    </row>
    <row r="23" spans="1:17">
      <c r="A23" s="3">
        <v>15</v>
      </c>
      <c r="B23" s="3" t="s">
        <v>57</v>
      </c>
      <c r="C23" s="3" t="s">
        <v>20</v>
      </c>
      <c r="D23" s="4" t="s">
        <v>72</v>
      </c>
      <c r="E23" s="5">
        <v>276.3</v>
      </c>
      <c r="F23" s="5">
        <v>358.8</v>
      </c>
      <c r="G23" s="5">
        <f t="shared" si="0"/>
        <v>82.5</v>
      </c>
      <c r="H23" s="6">
        <f t="shared" si="1"/>
        <v>0.29858849077090116</v>
      </c>
      <c r="I23" s="6">
        <v>0.88838409090909098</v>
      </c>
      <c r="J23" s="6">
        <v>0.93499888888888905</v>
      </c>
      <c r="K23" s="6">
        <f t="shared" si="2"/>
        <v>4.6614797979798062E-2</v>
      </c>
      <c r="L23" s="6">
        <v>0.81388939393939397</v>
      </c>
      <c r="M23" s="6">
        <v>0.90666666666666695</v>
      </c>
      <c r="N23" s="6">
        <f t="shared" si="3"/>
        <v>9.2777272727272986E-2</v>
      </c>
      <c r="O23" s="6">
        <v>0.98207121212121196</v>
      </c>
      <c r="P23" s="6">
        <v>0.99666666666666703</v>
      </c>
      <c r="Q23" s="6">
        <f t="shared" si="4"/>
        <v>1.4595454545455078E-2</v>
      </c>
    </row>
    <row r="24" spans="1:17">
      <c r="A24" s="7">
        <v>16</v>
      </c>
      <c r="B24" s="7" t="s">
        <v>57</v>
      </c>
      <c r="C24" s="7" t="s">
        <v>23</v>
      </c>
      <c r="D24" s="8" t="s">
        <v>73</v>
      </c>
      <c r="E24" s="9">
        <v>502.3</v>
      </c>
      <c r="F24" s="9">
        <v>584.79999999999995</v>
      </c>
      <c r="G24" s="9">
        <f t="shared" si="0"/>
        <v>82.499999999999943</v>
      </c>
      <c r="H24" s="10">
        <f t="shared" si="1"/>
        <v>0.16424447541309961</v>
      </c>
      <c r="I24" s="10">
        <v>0.89065656565656603</v>
      </c>
      <c r="J24" s="10">
        <v>0.86685000000000001</v>
      </c>
      <c r="K24" s="10">
        <f t="shared" si="2"/>
        <v>-2.3806565656566026E-2</v>
      </c>
      <c r="L24" s="10">
        <v>0.88737727272727296</v>
      </c>
      <c r="M24" s="10">
        <v>0.74665999999999999</v>
      </c>
      <c r="N24" s="10">
        <f t="shared" si="3"/>
        <v>-0.14071727272727297</v>
      </c>
      <c r="O24" s="10">
        <v>0.94217272727272705</v>
      </c>
      <c r="P24" s="10">
        <v>0.96666666666666701</v>
      </c>
      <c r="Q24" s="10">
        <f t="shared" si="4"/>
        <v>2.4493939393939956E-2</v>
      </c>
    </row>
    <row r="25" spans="1:17">
      <c r="A25" s="3">
        <v>17</v>
      </c>
      <c r="B25" s="3" t="s">
        <v>57</v>
      </c>
      <c r="C25" s="3" t="s">
        <v>22</v>
      </c>
      <c r="D25" s="4" t="s">
        <v>74</v>
      </c>
      <c r="E25" s="5">
        <v>225</v>
      </c>
      <c r="F25" s="5">
        <v>307.39999999999998</v>
      </c>
      <c r="G25" s="5">
        <f t="shared" si="0"/>
        <v>82.399999999999977</v>
      </c>
      <c r="H25" s="6">
        <f t="shared" si="1"/>
        <v>0.36622222222222212</v>
      </c>
      <c r="I25" s="6">
        <v>0.89461237373737401</v>
      </c>
      <c r="J25" s="6">
        <v>0.84314777777777805</v>
      </c>
      <c r="K25" s="6">
        <f t="shared" si="2"/>
        <v>-5.146459595959596E-2</v>
      </c>
      <c r="L25" s="6">
        <v>0.93712272727272705</v>
      </c>
      <c r="M25" s="6">
        <v>0.97443999999999997</v>
      </c>
      <c r="N25" s="6">
        <f t="shared" si="3"/>
        <v>3.7317272727272921E-2</v>
      </c>
      <c r="O25" s="6">
        <v>0.92121363636363596</v>
      </c>
      <c r="P25" s="6">
        <v>0.79778000000000004</v>
      </c>
      <c r="Q25" s="6">
        <f t="shared" si="4"/>
        <v>-0.12343363636363591</v>
      </c>
    </row>
    <row r="26" spans="1:17">
      <c r="A26" s="7">
        <v>18</v>
      </c>
      <c r="B26" s="7" t="s">
        <v>57</v>
      </c>
      <c r="C26" s="7" t="s">
        <v>22</v>
      </c>
      <c r="D26" s="8" t="s">
        <v>75</v>
      </c>
      <c r="E26" s="9">
        <v>366.8</v>
      </c>
      <c r="F26" s="9">
        <v>448.2</v>
      </c>
      <c r="G26" s="9">
        <f t="shared" si="0"/>
        <v>81.399999999999977</v>
      </c>
      <c r="H26" s="10">
        <f t="shared" si="1"/>
        <v>0.22191930207197375</v>
      </c>
      <c r="I26" s="10">
        <v>0.86262702020201998</v>
      </c>
      <c r="J26" s="10">
        <v>0.88259111111111099</v>
      </c>
      <c r="K26" s="10">
        <f t="shared" si="2"/>
        <v>1.9964090909091015E-2</v>
      </c>
      <c r="L26" s="10">
        <v>0.99595909090909096</v>
      </c>
      <c r="M26" s="10">
        <v>1</v>
      </c>
      <c r="N26" s="10">
        <f t="shared" si="3"/>
        <v>4.0409090909090395E-3</v>
      </c>
      <c r="O26" s="10">
        <v>0.84217272727272696</v>
      </c>
      <c r="P26" s="10">
        <v>0.85443999999999998</v>
      </c>
      <c r="Q26" s="10">
        <f t="shared" si="4"/>
        <v>1.2267272727273015E-2</v>
      </c>
    </row>
    <row r="27" spans="1:17">
      <c r="A27" s="3">
        <v>19</v>
      </c>
      <c r="B27" s="3" t="s">
        <v>57</v>
      </c>
      <c r="C27" s="3" t="s">
        <v>23</v>
      </c>
      <c r="D27" s="4" t="s">
        <v>76</v>
      </c>
      <c r="E27" s="5">
        <v>208.6</v>
      </c>
      <c r="F27" s="5">
        <v>284</v>
      </c>
      <c r="G27" s="5">
        <f t="shared" si="0"/>
        <v>75.400000000000006</v>
      </c>
      <c r="H27" s="6">
        <f t="shared" si="1"/>
        <v>0.36145733461169705</v>
      </c>
      <c r="I27" s="6">
        <v>0.89907348484848504</v>
      </c>
      <c r="J27" s="6">
        <v>0.90777888888888902</v>
      </c>
      <c r="K27" s="6">
        <f t="shared" si="2"/>
        <v>8.7054040404039856E-3</v>
      </c>
      <c r="L27" s="6">
        <v>0.71161515151515198</v>
      </c>
      <c r="M27" s="6">
        <v>0.80222666666666698</v>
      </c>
      <c r="N27" s="6">
        <f t="shared" si="3"/>
        <v>9.0611515151514999E-2</v>
      </c>
      <c r="O27" s="6">
        <v>0.99772727272727302</v>
      </c>
      <c r="P27" s="6">
        <v>0.98555333333333295</v>
      </c>
      <c r="Q27" s="6">
        <f t="shared" si="4"/>
        <v>-1.217393939394007E-2</v>
      </c>
    </row>
    <row r="28" spans="1:17">
      <c r="A28" s="7">
        <v>20</v>
      </c>
      <c r="B28" s="7" t="s">
        <v>57</v>
      </c>
      <c r="C28" s="7" t="s">
        <v>23</v>
      </c>
      <c r="D28" s="8" t="s">
        <v>77</v>
      </c>
      <c r="E28" s="9">
        <v>317.7</v>
      </c>
      <c r="F28" s="9">
        <v>392.4</v>
      </c>
      <c r="G28" s="9">
        <f t="shared" si="0"/>
        <v>74.699999999999989</v>
      </c>
      <c r="H28" s="10">
        <f t="shared" si="1"/>
        <v>0.23512747875354104</v>
      </c>
      <c r="I28" s="10">
        <v>0.89722222222222303</v>
      </c>
      <c r="J28" s="10">
        <v>0.905741111111111</v>
      </c>
      <c r="K28" s="10">
        <f t="shared" si="2"/>
        <v>8.5188888888879655E-3</v>
      </c>
      <c r="L28" s="10">
        <v>0.98257575757575699</v>
      </c>
      <c r="M28" s="10">
        <v>0.95333333333333303</v>
      </c>
      <c r="N28" s="10">
        <f t="shared" si="3"/>
        <v>-2.9242424242423959E-2</v>
      </c>
      <c r="O28" s="10">
        <v>0.89444545454545399</v>
      </c>
      <c r="P28" s="10">
        <v>0.94555333333333302</v>
      </c>
      <c r="Q28" s="10">
        <f t="shared" si="4"/>
        <v>5.1107878787879035E-2</v>
      </c>
    </row>
    <row r="29" spans="1:17">
      <c r="A29" s="3">
        <v>21</v>
      </c>
      <c r="B29" s="3" t="s">
        <v>57</v>
      </c>
      <c r="C29" s="3" t="s">
        <v>25</v>
      </c>
      <c r="D29" s="4" t="s">
        <v>78</v>
      </c>
      <c r="E29" s="5">
        <v>338.6</v>
      </c>
      <c r="F29" s="5">
        <v>411</v>
      </c>
      <c r="G29" s="5">
        <f t="shared" si="0"/>
        <v>72.399999999999977</v>
      </c>
      <c r="H29" s="6">
        <f t="shared" si="1"/>
        <v>0.21382161842882449</v>
      </c>
      <c r="I29" s="6">
        <v>0.88636212121212099</v>
      </c>
      <c r="J29" s="6">
        <v>0.89647888888888905</v>
      </c>
      <c r="K29" s="6">
        <f t="shared" si="2"/>
        <v>1.0116767676768057E-2</v>
      </c>
      <c r="L29" s="6">
        <v>0.95353484848484904</v>
      </c>
      <c r="M29" s="6">
        <v>0.89666666666666694</v>
      </c>
      <c r="N29" s="6">
        <f t="shared" si="3"/>
        <v>-5.6868181818182095E-2</v>
      </c>
      <c r="O29" s="6">
        <v>0.95151515151515098</v>
      </c>
      <c r="P29" s="6">
        <v>0.99666666666666703</v>
      </c>
      <c r="Q29" s="6">
        <f t="shared" si="4"/>
        <v>4.5151515151516053E-2</v>
      </c>
    </row>
    <row r="30" spans="1:17">
      <c r="A30" s="7">
        <v>22</v>
      </c>
      <c r="B30" s="7" t="s">
        <v>57</v>
      </c>
      <c r="C30" s="7" t="s">
        <v>21</v>
      </c>
      <c r="D30" s="8" t="s">
        <v>79</v>
      </c>
      <c r="E30" s="9">
        <v>322.7</v>
      </c>
      <c r="F30" s="9">
        <v>393.2</v>
      </c>
      <c r="G30" s="9">
        <f t="shared" si="0"/>
        <v>70.5</v>
      </c>
      <c r="H30" s="10">
        <f t="shared" si="1"/>
        <v>0.21846916640842889</v>
      </c>
      <c r="I30" s="10">
        <v>0.88926767676767704</v>
      </c>
      <c r="J30" s="10">
        <v>0.88</v>
      </c>
      <c r="K30" s="10">
        <f t="shared" si="2"/>
        <v>-9.2676767676770355E-3</v>
      </c>
      <c r="L30" s="10">
        <v>0.98459545454545505</v>
      </c>
      <c r="M30" s="10">
        <v>0.96221999999999996</v>
      </c>
      <c r="N30" s="10">
        <f t="shared" si="3"/>
        <v>-2.2375454545455087E-2</v>
      </c>
      <c r="O30" s="10">
        <v>0.86641212121212097</v>
      </c>
      <c r="P30" s="10">
        <v>0.90555333333333299</v>
      </c>
      <c r="Q30" s="10">
        <f t="shared" si="4"/>
        <v>3.9141212121212021E-2</v>
      </c>
    </row>
    <row r="31" spans="1:17">
      <c r="A31" s="3">
        <v>23</v>
      </c>
      <c r="B31" s="3" t="s">
        <v>57</v>
      </c>
      <c r="C31" s="3" t="s">
        <v>23</v>
      </c>
      <c r="D31" s="4" t="s">
        <v>80</v>
      </c>
      <c r="E31" s="5">
        <v>293.2</v>
      </c>
      <c r="F31" s="5">
        <v>360.6</v>
      </c>
      <c r="G31" s="5">
        <f t="shared" si="0"/>
        <v>67.400000000000034</v>
      </c>
      <c r="H31" s="6">
        <f t="shared" si="1"/>
        <v>0.22987721691678048</v>
      </c>
      <c r="I31" s="6">
        <v>0.86401439393939405</v>
      </c>
      <c r="J31" s="6">
        <v>0.84129444444444501</v>
      </c>
      <c r="K31" s="6">
        <f t="shared" si="2"/>
        <v>-2.2719949494949043E-2</v>
      </c>
      <c r="L31" s="6">
        <v>0.81237424242424305</v>
      </c>
      <c r="M31" s="6">
        <v>0.80111333333333301</v>
      </c>
      <c r="N31" s="6">
        <f t="shared" si="3"/>
        <v>-1.1260909090910043E-2</v>
      </c>
      <c r="O31" s="6">
        <v>0.97727272727272696</v>
      </c>
      <c r="P31" s="6">
        <v>0.96777999999999997</v>
      </c>
      <c r="Q31" s="6">
        <f t="shared" si="4"/>
        <v>-9.4927272727269862E-3</v>
      </c>
    </row>
    <row r="32" spans="1:17">
      <c r="A32" s="7">
        <v>24</v>
      </c>
      <c r="B32" s="7" t="s">
        <v>57</v>
      </c>
      <c r="C32" s="7" t="s">
        <v>24</v>
      </c>
      <c r="D32" s="8" t="s">
        <v>81</v>
      </c>
      <c r="E32" s="9">
        <v>207.9</v>
      </c>
      <c r="F32" s="9">
        <v>275.2</v>
      </c>
      <c r="G32" s="9">
        <f t="shared" si="0"/>
        <v>67.299999999999983</v>
      </c>
      <c r="H32" s="10">
        <f t="shared" si="1"/>
        <v>0.32371332371332362</v>
      </c>
      <c r="I32" s="10">
        <v>0.85980732323232301</v>
      </c>
      <c r="J32" s="10">
        <v>0.98963000000000001</v>
      </c>
      <c r="K32" s="10">
        <f t="shared" si="2"/>
        <v>0.129822676767677</v>
      </c>
      <c r="L32" s="10">
        <v>0.99848484848484897</v>
      </c>
      <c r="M32" s="10">
        <v>1</v>
      </c>
      <c r="N32" s="10">
        <f t="shared" si="3"/>
        <v>1.5151515151510253E-3</v>
      </c>
      <c r="O32" s="10">
        <v>0.54520151515151505</v>
      </c>
      <c r="P32" s="10">
        <v>1</v>
      </c>
      <c r="Q32" s="10">
        <f t="shared" si="4"/>
        <v>0.45479848484848495</v>
      </c>
    </row>
    <row r="33" spans="1:17">
      <c r="A33" s="3">
        <v>25</v>
      </c>
      <c r="B33" s="3" t="s">
        <v>57</v>
      </c>
      <c r="C33" s="3" t="s">
        <v>22</v>
      </c>
      <c r="D33" s="4" t="s">
        <v>82</v>
      </c>
      <c r="E33" s="5">
        <v>224</v>
      </c>
      <c r="F33" s="5">
        <v>283.39999999999998</v>
      </c>
      <c r="G33" s="5">
        <f t="shared" si="0"/>
        <v>59.399999999999977</v>
      </c>
      <c r="H33" s="6">
        <f t="shared" si="1"/>
        <v>0.26517857142857132</v>
      </c>
      <c r="I33" s="6">
        <v>0.89364469696969695</v>
      </c>
      <c r="J33" s="6">
        <v>0.94814777777777803</v>
      </c>
      <c r="K33" s="6">
        <f t="shared" si="2"/>
        <v>5.4503080808081084E-2</v>
      </c>
      <c r="L33" s="6">
        <v>0.90050909090909104</v>
      </c>
      <c r="M33" s="6">
        <v>0.99443999999999999</v>
      </c>
      <c r="N33" s="6">
        <f t="shared" si="3"/>
        <v>9.3930909090908954E-2</v>
      </c>
      <c r="O33" s="6">
        <v>0.93459545454545501</v>
      </c>
      <c r="P33" s="6">
        <v>0.86778666666666704</v>
      </c>
      <c r="Q33" s="6">
        <f t="shared" si="4"/>
        <v>-6.6808787878787967E-2</v>
      </c>
    </row>
    <row r="34" spans="1:17">
      <c r="A34" s="7">
        <v>26</v>
      </c>
      <c r="B34" s="7" t="s">
        <v>57</v>
      </c>
      <c r="C34" s="7" t="s">
        <v>22</v>
      </c>
      <c r="D34" s="8" t="s">
        <v>83</v>
      </c>
      <c r="E34" s="9">
        <v>204</v>
      </c>
      <c r="F34" s="9">
        <v>260</v>
      </c>
      <c r="G34" s="9">
        <f t="shared" si="0"/>
        <v>56</v>
      </c>
      <c r="H34" s="10">
        <f t="shared" si="1"/>
        <v>0.27450980392156865</v>
      </c>
      <c r="I34" s="10">
        <v>0.87298030303030305</v>
      </c>
      <c r="J34" s="10">
        <v>0.93629777777777801</v>
      </c>
      <c r="K34" s="10">
        <f t="shared" si="2"/>
        <v>6.3317474747474956E-2</v>
      </c>
      <c r="L34" s="10">
        <v>0.86085909090909096</v>
      </c>
      <c r="M34" s="10">
        <v>0.97444666666666702</v>
      </c>
      <c r="N34" s="10">
        <f t="shared" si="3"/>
        <v>0.11358757575757605</v>
      </c>
      <c r="O34" s="10">
        <v>1</v>
      </c>
      <c r="P34" s="10">
        <v>0.99221999999999999</v>
      </c>
      <c r="Q34" s="10">
        <f t="shared" si="4"/>
        <v>-7.7800000000000091E-3</v>
      </c>
    </row>
    <row r="35" spans="1:17">
      <c r="A35" s="3">
        <v>27</v>
      </c>
      <c r="B35" s="3" t="s">
        <v>57</v>
      </c>
      <c r="C35" s="3" t="s">
        <v>20</v>
      </c>
      <c r="D35" s="4" t="s">
        <v>84</v>
      </c>
      <c r="E35" s="5">
        <v>305.7</v>
      </c>
      <c r="F35" s="5">
        <v>350</v>
      </c>
      <c r="G35" s="5">
        <f t="shared" si="0"/>
        <v>44.300000000000011</v>
      </c>
      <c r="H35" s="6">
        <f t="shared" si="1"/>
        <v>0.14491331370624799</v>
      </c>
      <c r="I35" s="6">
        <v>0.85589368686868705</v>
      </c>
      <c r="J35" s="6">
        <v>0.96092777777777805</v>
      </c>
      <c r="K35" s="6">
        <f t="shared" si="2"/>
        <v>0.10503409090909099</v>
      </c>
      <c r="L35" s="6">
        <v>0.77323333333333299</v>
      </c>
      <c r="M35" s="6">
        <v>0.954446666666667</v>
      </c>
      <c r="N35" s="6">
        <f t="shared" si="3"/>
        <v>0.181213333333334</v>
      </c>
      <c r="O35" s="6">
        <v>0.99772727272727302</v>
      </c>
      <c r="P35" s="6">
        <v>1</v>
      </c>
      <c r="Q35" s="6">
        <f t="shared" si="4"/>
        <v>2.2727272727269821E-3</v>
      </c>
    </row>
    <row r="36" spans="1:17">
      <c r="A36" s="7">
        <v>28</v>
      </c>
      <c r="B36" s="7" t="s">
        <v>57</v>
      </c>
      <c r="C36" s="7" t="s">
        <v>32</v>
      </c>
      <c r="D36" s="8" t="s">
        <v>85</v>
      </c>
      <c r="E36" s="9">
        <v>216.9</v>
      </c>
      <c r="F36" s="9">
        <v>260.60000000000002</v>
      </c>
      <c r="G36" s="9">
        <f t="shared" si="0"/>
        <v>43.700000000000017</v>
      </c>
      <c r="H36" s="10">
        <f t="shared" si="1"/>
        <v>0.2014753342554173</v>
      </c>
      <c r="I36" s="10">
        <v>0.88101969696969695</v>
      </c>
      <c r="J36" s="10">
        <v>0.87111000000000005</v>
      </c>
      <c r="K36" s="10">
        <f t="shared" si="2"/>
        <v>-9.9096969696969017E-3</v>
      </c>
      <c r="L36" s="10">
        <v>0.981565151515152</v>
      </c>
      <c r="M36" s="10">
        <v>0.97666666666666702</v>
      </c>
      <c r="N36" s="10">
        <f t="shared" si="3"/>
        <v>-4.8984848484849852E-3</v>
      </c>
      <c r="O36" s="10">
        <v>0.87374393939393902</v>
      </c>
      <c r="P36" s="10">
        <v>0.92999333333333301</v>
      </c>
      <c r="Q36" s="10">
        <f t="shared" si="4"/>
        <v>5.6249393939393988E-2</v>
      </c>
    </row>
    <row r="37" spans="1:17">
      <c r="A37" s="3">
        <v>29</v>
      </c>
      <c r="B37" s="3" t="s">
        <v>57</v>
      </c>
      <c r="C37" s="3" t="s">
        <v>21</v>
      </c>
      <c r="D37" s="4" t="s">
        <v>86</v>
      </c>
      <c r="E37" s="5">
        <v>325.3</v>
      </c>
      <c r="F37" s="5">
        <v>365.6</v>
      </c>
      <c r="G37" s="5">
        <f t="shared" si="0"/>
        <v>40.300000000000011</v>
      </c>
      <c r="H37" s="6">
        <f t="shared" si="1"/>
        <v>0.12388564402090381</v>
      </c>
      <c r="I37" s="6">
        <v>0.896844444444445</v>
      </c>
      <c r="J37" s="6">
        <v>0.85351888888888905</v>
      </c>
      <c r="K37" s="6">
        <f t="shared" si="2"/>
        <v>-4.332555555555595E-2</v>
      </c>
      <c r="L37" s="6">
        <v>0.97904242424242405</v>
      </c>
      <c r="M37" s="6">
        <v>0.89112000000000002</v>
      </c>
      <c r="N37" s="6">
        <f t="shared" si="3"/>
        <v>-8.7922424242424024E-2</v>
      </c>
      <c r="O37" s="6">
        <v>0.92045454545454497</v>
      </c>
      <c r="P37" s="6">
        <v>0.88334000000000001</v>
      </c>
      <c r="Q37" s="6">
        <f t="shared" si="4"/>
        <v>-3.7114545454544956E-2</v>
      </c>
    </row>
    <row r="38" spans="1:17">
      <c r="A38" s="7">
        <v>30</v>
      </c>
      <c r="B38" s="7" t="s">
        <v>57</v>
      </c>
      <c r="C38" s="7" t="s">
        <v>31</v>
      </c>
      <c r="D38" s="8" t="s">
        <v>87</v>
      </c>
      <c r="E38" s="9">
        <v>404.7</v>
      </c>
      <c r="F38" s="9">
        <v>444.2</v>
      </c>
      <c r="G38" s="9">
        <f t="shared" si="0"/>
        <v>39.5</v>
      </c>
      <c r="H38" s="10">
        <f t="shared" si="1"/>
        <v>9.7603162836669144E-2</v>
      </c>
      <c r="I38" s="10">
        <v>0.89684368686868698</v>
      </c>
      <c r="J38" s="10">
        <v>0.92870333333333299</v>
      </c>
      <c r="K38" s="10">
        <f t="shared" si="2"/>
        <v>3.1859646464646008E-2</v>
      </c>
      <c r="L38" s="10">
        <v>0.93030303030302997</v>
      </c>
      <c r="M38" s="10">
        <v>1</v>
      </c>
      <c r="N38" s="10">
        <f t="shared" si="3"/>
        <v>6.9696969696970035E-2</v>
      </c>
      <c r="O38" s="10">
        <v>0.94545303030302996</v>
      </c>
      <c r="P38" s="10">
        <v>0.92778000000000005</v>
      </c>
      <c r="Q38" s="10">
        <f t="shared" si="4"/>
        <v>-1.7673030303029913E-2</v>
      </c>
    </row>
    <row r="39" spans="1:17">
      <c r="A39" s="3">
        <v>31</v>
      </c>
      <c r="B39" s="3" t="s">
        <v>57</v>
      </c>
      <c r="C39" s="3" t="s">
        <v>20</v>
      </c>
      <c r="D39" s="4" t="s">
        <v>88</v>
      </c>
      <c r="E39" s="5">
        <v>436.5</v>
      </c>
      <c r="F39" s="5">
        <v>474.2</v>
      </c>
      <c r="G39" s="5">
        <f t="shared" si="0"/>
        <v>37.699999999999989</v>
      </c>
      <c r="H39" s="6">
        <f t="shared" si="1"/>
        <v>8.6368843069873968E-2</v>
      </c>
      <c r="I39" s="6">
        <v>0.82360959595959604</v>
      </c>
      <c r="J39" s="6">
        <v>0.93185333333333298</v>
      </c>
      <c r="K39" s="6">
        <f t="shared" si="2"/>
        <v>0.10824373737373694</v>
      </c>
      <c r="L39" s="6">
        <v>0.88080606060606104</v>
      </c>
      <c r="M39" s="6">
        <v>0.93444666666666698</v>
      </c>
      <c r="N39" s="6">
        <f t="shared" si="3"/>
        <v>5.3640606060605944E-2</v>
      </c>
      <c r="O39" s="6">
        <v>0.92322727272727301</v>
      </c>
      <c r="P39" s="6">
        <v>0.99666666666666703</v>
      </c>
      <c r="Q39" s="6">
        <f t="shared" si="4"/>
        <v>7.3439393939394026E-2</v>
      </c>
    </row>
    <row r="40" spans="1:17">
      <c r="A40" s="7">
        <v>32</v>
      </c>
      <c r="B40" s="7" t="s">
        <v>57</v>
      </c>
      <c r="C40" s="7" t="s">
        <v>23</v>
      </c>
      <c r="D40" s="8" t="s">
        <v>89</v>
      </c>
      <c r="E40" s="9">
        <v>256.8</v>
      </c>
      <c r="F40" s="9">
        <v>289.60000000000002</v>
      </c>
      <c r="G40" s="9">
        <f t="shared" si="0"/>
        <v>32.800000000000011</v>
      </c>
      <c r="H40" s="10">
        <f t="shared" si="1"/>
        <v>0.12772585669781936</v>
      </c>
      <c r="I40" s="10">
        <v>0.78682676767676796</v>
      </c>
      <c r="J40" s="10">
        <v>0.764997777777778</v>
      </c>
      <c r="K40" s="10">
        <f t="shared" si="2"/>
        <v>-2.1828989898989959E-2</v>
      </c>
      <c r="L40" s="10">
        <v>0.94469696969697003</v>
      </c>
      <c r="M40" s="10">
        <v>0.94110666666666698</v>
      </c>
      <c r="N40" s="10">
        <f t="shared" si="3"/>
        <v>-3.5903030303030548E-3</v>
      </c>
      <c r="O40" s="10">
        <v>0.82020606060606105</v>
      </c>
      <c r="P40" s="10">
        <v>0.66998666666666695</v>
      </c>
      <c r="Q40" s="10">
        <f t="shared" si="4"/>
        <v>-0.1502193939393941</v>
      </c>
    </row>
    <row r="41" spans="1:17">
      <c r="A41" s="3">
        <v>33</v>
      </c>
      <c r="B41" s="3" t="s">
        <v>57</v>
      </c>
      <c r="C41" s="3" t="s">
        <v>24</v>
      </c>
      <c r="D41" s="4" t="s">
        <v>90</v>
      </c>
      <c r="E41" s="5">
        <v>450.7</v>
      </c>
      <c r="F41" s="5">
        <v>479.6</v>
      </c>
      <c r="G41" s="5">
        <f t="shared" ref="G41:G72" si="5">IF(OR(E41="",F41=""),"",F41-E41)</f>
        <v>28.900000000000034</v>
      </c>
      <c r="H41" s="6">
        <f t="shared" ref="H41:H72" si="6">IF(OR(E41="",F41="",E41=0),"",(F41-E41)/E41)</f>
        <v>6.4122476148213967E-2</v>
      </c>
      <c r="I41" s="6">
        <v>0.86818358585858602</v>
      </c>
      <c r="J41" s="6">
        <v>0.96740555555555596</v>
      </c>
      <c r="K41" s="6">
        <f t="shared" ref="K41:K72" si="7">IF(OR(I41="",J41=""),"",J41-I41)</f>
        <v>9.9221969696969947E-2</v>
      </c>
      <c r="L41" s="6">
        <v>0.85833484848484898</v>
      </c>
      <c r="M41" s="6">
        <v>0.99888666666666703</v>
      </c>
      <c r="N41" s="6">
        <f t="shared" ref="N41:N72" si="8">IF(OR(L41="",M41=""),"",M41-L41)</f>
        <v>0.14055181818181806</v>
      </c>
      <c r="O41" s="6">
        <v>0.94848636363636396</v>
      </c>
      <c r="P41" s="6">
        <v>1</v>
      </c>
      <c r="Q41" s="6">
        <f t="shared" ref="Q41:Q72" si="9">IF(OR(O41="",P41=""),"",P41-O41)</f>
        <v>5.1513636363636039E-2</v>
      </c>
    </row>
    <row r="42" spans="1:17">
      <c r="A42" s="7">
        <v>34</v>
      </c>
      <c r="B42" s="7" t="s">
        <v>57</v>
      </c>
      <c r="C42" s="7" t="s">
        <v>25</v>
      </c>
      <c r="D42" s="8" t="s">
        <v>91</v>
      </c>
      <c r="E42" s="9">
        <v>218.3</v>
      </c>
      <c r="F42" s="9">
        <v>246.8</v>
      </c>
      <c r="G42" s="9">
        <f t="shared" si="5"/>
        <v>28.5</v>
      </c>
      <c r="H42" s="10">
        <f t="shared" si="6"/>
        <v>0.13055428309665598</v>
      </c>
      <c r="I42" s="10">
        <v>0.82036994949494901</v>
      </c>
      <c r="J42" s="10">
        <v>0.76388666666666705</v>
      </c>
      <c r="K42" s="10">
        <f t="shared" si="7"/>
        <v>-5.6483282828281967E-2</v>
      </c>
      <c r="L42" s="10">
        <v>0.95656515151515198</v>
      </c>
      <c r="M42" s="10">
        <v>0.99333333333333296</v>
      </c>
      <c r="N42" s="10">
        <f t="shared" si="8"/>
        <v>3.6768181818180978E-2</v>
      </c>
      <c r="O42" s="10">
        <v>0.56414393939393903</v>
      </c>
      <c r="P42" s="10">
        <v>0.40555333333333299</v>
      </c>
      <c r="Q42" s="10">
        <f t="shared" si="9"/>
        <v>-0.15859060606060604</v>
      </c>
    </row>
    <row r="43" spans="1:17">
      <c r="A43" s="3">
        <v>35</v>
      </c>
      <c r="B43" s="3" t="s">
        <v>57</v>
      </c>
      <c r="C43" s="3" t="s">
        <v>22</v>
      </c>
      <c r="D43" s="4" t="s">
        <v>92</v>
      </c>
      <c r="E43" s="5">
        <v>203</v>
      </c>
      <c r="F43" s="5">
        <v>230.4</v>
      </c>
      <c r="G43" s="5">
        <f t="shared" si="5"/>
        <v>27.400000000000006</v>
      </c>
      <c r="H43" s="6">
        <f t="shared" si="6"/>
        <v>0.1349753694581281</v>
      </c>
      <c r="I43" s="6">
        <v>0.88249191919191905</v>
      </c>
      <c r="J43" s="6">
        <v>0.83425888888888899</v>
      </c>
      <c r="K43" s="6">
        <f t="shared" si="7"/>
        <v>-4.8233030303030056E-2</v>
      </c>
      <c r="L43" s="6">
        <v>0.99570757575757596</v>
      </c>
      <c r="M43" s="6">
        <v>1</v>
      </c>
      <c r="N43" s="6">
        <f t="shared" si="8"/>
        <v>4.2924242424240422E-3</v>
      </c>
      <c r="O43" s="6">
        <v>0.90353636363636403</v>
      </c>
      <c r="P43" s="6">
        <v>0.83667333333333305</v>
      </c>
      <c r="Q43" s="6">
        <f t="shared" si="9"/>
        <v>-6.6863030303030979E-2</v>
      </c>
    </row>
    <row r="44" spans="1:17">
      <c r="A44" s="7">
        <v>36</v>
      </c>
      <c r="B44" s="7" t="s">
        <v>57</v>
      </c>
      <c r="C44" s="7" t="s">
        <v>22</v>
      </c>
      <c r="D44" s="8" t="s">
        <v>93</v>
      </c>
      <c r="E44" s="9">
        <v>253.9</v>
      </c>
      <c r="F44" s="9">
        <v>280.8</v>
      </c>
      <c r="G44" s="9">
        <f t="shared" si="5"/>
        <v>26.900000000000006</v>
      </c>
      <c r="H44" s="10">
        <f t="shared" si="6"/>
        <v>0.10594722331626627</v>
      </c>
      <c r="I44" s="10">
        <v>0.85618636363636402</v>
      </c>
      <c r="J44" s="10">
        <v>0.82777999999999996</v>
      </c>
      <c r="K44" s="10">
        <f t="shared" si="7"/>
        <v>-2.8406363636364063E-2</v>
      </c>
      <c r="L44" s="10">
        <v>0.91338333333333299</v>
      </c>
      <c r="M44" s="10">
        <v>0.795553333333333</v>
      </c>
      <c r="N44" s="10">
        <f t="shared" si="8"/>
        <v>-0.11782999999999999</v>
      </c>
      <c r="O44" s="10">
        <v>0.93131363636363595</v>
      </c>
      <c r="P44" s="10">
        <v>0.954446666666667</v>
      </c>
      <c r="Q44" s="10">
        <f t="shared" si="9"/>
        <v>2.3133030303031044E-2</v>
      </c>
    </row>
    <row r="45" spans="1:17">
      <c r="A45" s="3">
        <v>37</v>
      </c>
      <c r="B45" s="3" t="s">
        <v>57</v>
      </c>
      <c r="C45" s="3" t="s">
        <v>24</v>
      </c>
      <c r="D45" s="4" t="s">
        <v>94</v>
      </c>
      <c r="E45" s="5">
        <v>334.1</v>
      </c>
      <c r="F45" s="5">
        <v>359.4</v>
      </c>
      <c r="G45" s="5">
        <f t="shared" si="5"/>
        <v>25.299999999999955</v>
      </c>
      <c r="H45" s="6">
        <f t="shared" si="6"/>
        <v>7.5725830589643675E-2</v>
      </c>
      <c r="I45" s="6">
        <v>0.79267500000000002</v>
      </c>
      <c r="J45" s="6">
        <v>0.83777666666666695</v>
      </c>
      <c r="K45" s="6">
        <f t="shared" si="7"/>
        <v>4.5101666666666929E-2</v>
      </c>
      <c r="L45" s="6">
        <v>0.66110757575757595</v>
      </c>
      <c r="M45" s="6">
        <v>0.79444666666666697</v>
      </c>
      <c r="N45" s="6">
        <f t="shared" si="8"/>
        <v>0.13333909090909102</v>
      </c>
      <c r="O45" s="6">
        <v>0.94166818181818202</v>
      </c>
      <c r="P45" s="6">
        <v>0.99110666666666702</v>
      </c>
      <c r="Q45" s="6">
        <f t="shared" si="9"/>
        <v>4.9438484848485009E-2</v>
      </c>
    </row>
    <row r="46" spans="1:17">
      <c r="A46" s="7">
        <v>38</v>
      </c>
      <c r="B46" s="7" t="s">
        <v>57</v>
      </c>
      <c r="C46" s="7" t="s">
        <v>20</v>
      </c>
      <c r="D46" s="8" t="s">
        <v>95</v>
      </c>
      <c r="E46" s="9">
        <v>298.5</v>
      </c>
      <c r="F46" s="9">
        <v>322.60000000000002</v>
      </c>
      <c r="G46" s="9">
        <f t="shared" si="5"/>
        <v>24.100000000000023</v>
      </c>
      <c r="H46" s="10">
        <f t="shared" si="6"/>
        <v>8.0737018425460716E-2</v>
      </c>
      <c r="I46" s="10">
        <v>0.798947727272727</v>
      </c>
      <c r="J46" s="10">
        <v>0.923332222222222</v>
      </c>
      <c r="K46" s="10">
        <f t="shared" si="7"/>
        <v>0.12438449494949499</v>
      </c>
      <c r="L46" s="10">
        <v>0.68207727272727303</v>
      </c>
      <c r="M46" s="10">
        <v>0.86889333333333296</v>
      </c>
      <c r="N46" s="10">
        <f t="shared" si="8"/>
        <v>0.18681606060605993</v>
      </c>
      <c r="O46" s="10">
        <v>0.95934393939394003</v>
      </c>
      <c r="P46" s="10">
        <v>0.98888666666666702</v>
      </c>
      <c r="Q46" s="10">
        <f t="shared" si="9"/>
        <v>2.9542727272726998E-2</v>
      </c>
    </row>
    <row r="47" spans="1:17">
      <c r="A47" s="3">
        <v>39</v>
      </c>
      <c r="B47" s="3" t="s">
        <v>57</v>
      </c>
      <c r="C47" s="3" t="s">
        <v>20</v>
      </c>
      <c r="D47" s="4" t="s">
        <v>96</v>
      </c>
      <c r="E47" s="5">
        <v>213.7</v>
      </c>
      <c r="F47" s="5">
        <v>232.2</v>
      </c>
      <c r="G47" s="5">
        <f t="shared" si="5"/>
        <v>18.5</v>
      </c>
      <c r="H47" s="6">
        <f t="shared" si="6"/>
        <v>8.6569957884885362E-2</v>
      </c>
      <c r="I47" s="6">
        <v>0.863300252525253</v>
      </c>
      <c r="J47" s="6">
        <v>0.94222111111111095</v>
      </c>
      <c r="K47" s="6">
        <f t="shared" si="7"/>
        <v>7.8920858585857956E-2</v>
      </c>
      <c r="L47" s="6">
        <v>0.86994696969697005</v>
      </c>
      <c r="M47" s="6">
        <v>0.89</v>
      </c>
      <c r="N47" s="6">
        <f t="shared" si="8"/>
        <v>2.0053030303029962E-2</v>
      </c>
      <c r="O47" s="6">
        <v>0.97525303030303001</v>
      </c>
      <c r="P47" s="6">
        <v>1</v>
      </c>
      <c r="Q47" s="6">
        <f t="shared" si="9"/>
        <v>2.4746969696969989E-2</v>
      </c>
    </row>
    <row r="48" spans="1:17">
      <c r="A48" s="7">
        <v>40</v>
      </c>
      <c r="B48" s="7" t="s">
        <v>57</v>
      </c>
      <c r="C48" s="7" t="s">
        <v>24</v>
      </c>
      <c r="D48" s="8" t="s">
        <v>97</v>
      </c>
      <c r="E48" s="9">
        <v>304.60000000000002</v>
      </c>
      <c r="F48" s="9">
        <v>322.8</v>
      </c>
      <c r="G48" s="9">
        <f t="shared" si="5"/>
        <v>18.199999999999989</v>
      </c>
      <c r="H48" s="10">
        <f t="shared" si="6"/>
        <v>5.9750492449113547E-2</v>
      </c>
      <c r="I48" s="10">
        <v>0.854461111111111</v>
      </c>
      <c r="J48" s="10">
        <v>0.89815</v>
      </c>
      <c r="K48" s="10">
        <f t="shared" si="7"/>
        <v>4.3688888888888999E-2</v>
      </c>
      <c r="L48" s="10">
        <v>0.72272878787878803</v>
      </c>
      <c r="M48" s="10">
        <v>0.91888666666666696</v>
      </c>
      <c r="N48" s="10">
        <f t="shared" si="8"/>
        <v>0.19615787878787894</v>
      </c>
      <c r="O48" s="10">
        <v>0.99267575757575799</v>
      </c>
      <c r="P48" s="10">
        <v>0.99443999999999999</v>
      </c>
      <c r="Q48" s="10">
        <f t="shared" si="9"/>
        <v>1.7642424242420018E-3</v>
      </c>
    </row>
    <row r="49" spans="1:17">
      <c r="A49" s="3">
        <v>41</v>
      </c>
      <c r="B49" s="3" t="s">
        <v>57</v>
      </c>
      <c r="C49" s="3" t="s">
        <v>20</v>
      </c>
      <c r="D49" s="4" t="s">
        <v>98</v>
      </c>
      <c r="E49" s="5">
        <v>260.10000000000002</v>
      </c>
      <c r="F49" s="5">
        <v>277.39999999999998</v>
      </c>
      <c r="G49" s="5">
        <f t="shared" si="5"/>
        <v>17.299999999999955</v>
      </c>
      <c r="H49" s="6">
        <f t="shared" si="6"/>
        <v>6.6512879661668411E-2</v>
      </c>
      <c r="I49" s="6">
        <v>0.88451237373737401</v>
      </c>
      <c r="J49" s="6">
        <v>0.90592222222222196</v>
      </c>
      <c r="K49" s="6">
        <f t="shared" si="7"/>
        <v>2.1409848484847949E-2</v>
      </c>
      <c r="L49" s="6">
        <v>0.78636515151515096</v>
      </c>
      <c r="M49" s="6">
        <v>0.915553333333333</v>
      </c>
      <c r="N49" s="6">
        <f t="shared" si="8"/>
        <v>0.12918818181818204</v>
      </c>
      <c r="O49" s="6">
        <v>0.99570757575757596</v>
      </c>
      <c r="P49" s="6">
        <v>0.97110666666666701</v>
      </c>
      <c r="Q49" s="6">
        <f t="shared" si="9"/>
        <v>-2.4600909090908951E-2</v>
      </c>
    </row>
    <row r="50" spans="1:17">
      <c r="A50" s="7">
        <v>42</v>
      </c>
      <c r="B50" s="7" t="s">
        <v>57</v>
      </c>
      <c r="C50" s="7" t="s">
        <v>25</v>
      </c>
      <c r="D50" s="8" t="s">
        <v>99</v>
      </c>
      <c r="E50" s="9">
        <v>284.2</v>
      </c>
      <c r="F50" s="9">
        <v>300.8</v>
      </c>
      <c r="G50" s="9">
        <f t="shared" si="5"/>
        <v>16.600000000000023</v>
      </c>
      <c r="H50" s="10">
        <f t="shared" si="6"/>
        <v>5.8409570724841743E-2</v>
      </c>
      <c r="I50" s="10">
        <v>0.85420656565656605</v>
      </c>
      <c r="J50" s="10">
        <v>0.84555444444444505</v>
      </c>
      <c r="K50" s="10">
        <f t="shared" si="7"/>
        <v>-8.652121212121E-3</v>
      </c>
      <c r="L50" s="10">
        <v>0.71540000000000004</v>
      </c>
      <c r="M50" s="10">
        <v>0.51222666666666705</v>
      </c>
      <c r="N50" s="10">
        <f t="shared" si="8"/>
        <v>-0.20317333333333298</v>
      </c>
      <c r="O50" s="10">
        <v>0.99823181818181805</v>
      </c>
      <c r="P50" s="10">
        <v>1</v>
      </c>
      <c r="Q50" s="10">
        <f t="shared" si="9"/>
        <v>1.7681818181819464E-3</v>
      </c>
    </row>
    <row r="51" spans="1:17">
      <c r="A51" s="3">
        <v>43</v>
      </c>
      <c r="B51" s="3" t="s">
        <v>57</v>
      </c>
      <c r="C51" s="3" t="s">
        <v>20</v>
      </c>
      <c r="D51" s="4" t="s">
        <v>100</v>
      </c>
      <c r="E51" s="5">
        <v>217.1</v>
      </c>
      <c r="F51" s="5">
        <v>229.8</v>
      </c>
      <c r="G51" s="5">
        <f t="shared" si="5"/>
        <v>12.700000000000017</v>
      </c>
      <c r="H51" s="6">
        <f t="shared" si="6"/>
        <v>5.8498387839705283E-2</v>
      </c>
      <c r="I51" s="6">
        <v>0.859890656565657</v>
      </c>
      <c r="J51" s="6">
        <v>0.97074111111111105</v>
      </c>
      <c r="K51" s="6">
        <f t="shared" si="7"/>
        <v>0.11085045454545406</v>
      </c>
      <c r="L51" s="6">
        <v>0.71414090909090899</v>
      </c>
      <c r="M51" s="6">
        <v>1</v>
      </c>
      <c r="N51" s="6">
        <f t="shared" si="8"/>
        <v>0.28585909090909101</v>
      </c>
      <c r="O51" s="6">
        <v>0.99267575757575799</v>
      </c>
      <c r="P51" s="6">
        <v>1</v>
      </c>
      <c r="Q51" s="6">
        <f t="shared" si="9"/>
        <v>7.3242424242420112E-3</v>
      </c>
    </row>
    <row r="52" spans="1:17">
      <c r="A52" s="7">
        <v>44</v>
      </c>
      <c r="B52" s="7" t="s">
        <v>57</v>
      </c>
      <c r="C52" s="7" t="s">
        <v>20</v>
      </c>
      <c r="D52" s="8" t="s">
        <v>101</v>
      </c>
      <c r="E52" s="9">
        <v>766.2</v>
      </c>
      <c r="F52" s="9">
        <v>772.8</v>
      </c>
      <c r="G52" s="9">
        <f t="shared" si="5"/>
        <v>6.5999999999999091</v>
      </c>
      <c r="H52" s="10">
        <f t="shared" si="6"/>
        <v>8.6139389193420884E-3</v>
      </c>
      <c r="I52" s="10">
        <v>0.86662575757575799</v>
      </c>
      <c r="J52" s="10">
        <v>0.93074111111111102</v>
      </c>
      <c r="K52" s="10">
        <f t="shared" si="7"/>
        <v>6.4115353535353026E-2</v>
      </c>
      <c r="L52" s="10">
        <v>0.71161666666666701</v>
      </c>
      <c r="M52" s="10">
        <v>0.88111333333333297</v>
      </c>
      <c r="N52" s="10">
        <f t="shared" si="8"/>
        <v>0.16949666666666596</v>
      </c>
      <c r="O52" s="10">
        <v>1</v>
      </c>
      <c r="P52" s="10">
        <v>1</v>
      </c>
      <c r="Q52" s="10">
        <f t="shared" si="9"/>
        <v>0</v>
      </c>
    </row>
    <row r="53" spans="1:17">
      <c r="A53" s="3">
        <v>45</v>
      </c>
      <c r="B53" s="3" t="s">
        <v>57</v>
      </c>
      <c r="C53" s="3" t="s">
        <v>20</v>
      </c>
      <c r="D53" s="4" t="s">
        <v>102</v>
      </c>
      <c r="E53" s="5">
        <v>325.60000000000002</v>
      </c>
      <c r="F53" s="5">
        <v>330.6</v>
      </c>
      <c r="G53" s="5">
        <f t="shared" si="5"/>
        <v>5</v>
      </c>
      <c r="H53" s="6">
        <f t="shared" si="6"/>
        <v>1.5356265356265355E-2</v>
      </c>
      <c r="I53" s="6">
        <v>0.85664924242424301</v>
      </c>
      <c r="J53" s="6">
        <v>0.92926111111111098</v>
      </c>
      <c r="K53" s="6">
        <f t="shared" si="7"/>
        <v>7.2611868686867975E-2</v>
      </c>
      <c r="L53" s="6">
        <v>0.67651363636363604</v>
      </c>
      <c r="M53" s="6">
        <v>0.92666666666666697</v>
      </c>
      <c r="N53" s="6">
        <f t="shared" si="8"/>
        <v>0.25015303030303093</v>
      </c>
      <c r="O53" s="6">
        <v>0.996463636363636</v>
      </c>
      <c r="P53" s="6">
        <v>0.99</v>
      </c>
      <c r="Q53" s="6">
        <f t="shared" si="9"/>
        <v>-6.463636363636005E-3</v>
      </c>
    </row>
    <row r="54" spans="1:17">
      <c r="A54" s="7">
        <v>46</v>
      </c>
      <c r="B54" s="7" t="s">
        <v>57</v>
      </c>
      <c r="C54" s="7" t="s">
        <v>20</v>
      </c>
      <c r="D54" s="8" t="s">
        <v>103</v>
      </c>
      <c r="E54" s="9">
        <v>278.8</v>
      </c>
      <c r="F54" s="9">
        <v>279.39999999999998</v>
      </c>
      <c r="G54" s="9">
        <f t="shared" si="5"/>
        <v>0.59999999999996589</v>
      </c>
      <c r="H54" s="10">
        <f t="shared" si="6"/>
        <v>2.1520803443327327E-3</v>
      </c>
      <c r="I54" s="10">
        <v>0.87937676767676798</v>
      </c>
      <c r="J54" s="10">
        <v>0.96444333333333299</v>
      </c>
      <c r="K54" s="10">
        <f t="shared" si="7"/>
        <v>8.5066565656565007E-2</v>
      </c>
      <c r="L54" s="10">
        <v>0.75126212121212099</v>
      </c>
      <c r="M54" s="10">
        <v>0.98777999999999999</v>
      </c>
      <c r="N54" s="10">
        <f t="shared" si="8"/>
        <v>0.236517878787879</v>
      </c>
      <c r="O54" s="10">
        <v>0.99722272727272698</v>
      </c>
      <c r="P54" s="10">
        <v>1</v>
      </c>
      <c r="Q54" s="10">
        <f t="shared" si="9"/>
        <v>2.7772727272730169E-3</v>
      </c>
    </row>
    <row r="55" spans="1:17">
      <c r="A55" s="3">
        <v>47</v>
      </c>
      <c r="B55" s="3" t="s">
        <v>57</v>
      </c>
      <c r="C55" s="3" t="s">
        <v>20</v>
      </c>
      <c r="D55" s="4" t="s">
        <v>104</v>
      </c>
      <c r="E55" s="5">
        <v>208.6</v>
      </c>
      <c r="F55" s="5">
        <v>199.2</v>
      </c>
      <c r="G55" s="5">
        <f t="shared" si="5"/>
        <v>-9.4000000000000057</v>
      </c>
      <c r="H55" s="6">
        <f t="shared" si="6"/>
        <v>-4.5062320230105493E-2</v>
      </c>
      <c r="I55" s="6">
        <v>0.808375252525252</v>
      </c>
      <c r="J55" s="6">
        <v>0.86555222222222195</v>
      </c>
      <c r="K55" s="6">
        <f t="shared" si="7"/>
        <v>5.7176969696969948E-2</v>
      </c>
      <c r="L55" s="6">
        <v>0.99772727272727302</v>
      </c>
      <c r="M55" s="6">
        <v>1</v>
      </c>
      <c r="N55" s="6">
        <f t="shared" si="8"/>
        <v>2.2727272727269821E-3</v>
      </c>
      <c r="O55" s="6">
        <v>0.53080909090909101</v>
      </c>
      <c r="P55" s="6">
        <v>0.64888000000000001</v>
      </c>
      <c r="Q55" s="6">
        <f t="shared" si="9"/>
        <v>0.118070909090909</v>
      </c>
    </row>
    <row r="56" spans="1:17">
      <c r="A56" s="7">
        <v>48</v>
      </c>
      <c r="B56" s="7" t="s">
        <v>57</v>
      </c>
      <c r="C56" s="7" t="s">
        <v>20</v>
      </c>
      <c r="D56" s="8" t="s">
        <v>105</v>
      </c>
      <c r="E56" s="9">
        <v>273.8</v>
      </c>
      <c r="F56" s="9">
        <v>264</v>
      </c>
      <c r="G56" s="9">
        <f t="shared" si="5"/>
        <v>-9.8000000000000114</v>
      </c>
      <c r="H56" s="10">
        <f t="shared" si="6"/>
        <v>-3.5792549306062862E-2</v>
      </c>
      <c r="I56" s="10">
        <v>0.82285328282828296</v>
      </c>
      <c r="J56" s="10">
        <v>0.82315111111111094</v>
      </c>
      <c r="K56" s="10">
        <f t="shared" si="7"/>
        <v>2.9782828282798324E-4</v>
      </c>
      <c r="L56" s="10">
        <v>0.89823181818181796</v>
      </c>
      <c r="M56" s="10">
        <v>0.90222666666666695</v>
      </c>
      <c r="N56" s="10">
        <f t="shared" si="8"/>
        <v>3.9948484848489896E-3</v>
      </c>
      <c r="O56" s="10">
        <v>0.75404393939393899</v>
      </c>
      <c r="P56" s="10">
        <v>0.75778000000000001</v>
      </c>
      <c r="Q56" s="10">
        <f t="shared" si="9"/>
        <v>3.7360606060610202E-3</v>
      </c>
    </row>
    <row r="57" spans="1:17">
      <c r="A57" s="3">
        <v>49</v>
      </c>
      <c r="B57" s="3" t="s">
        <v>57</v>
      </c>
      <c r="C57" s="3" t="s">
        <v>20</v>
      </c>
      <c r="D57" s="4" t="s">
        <v>106</v>
      </c>
      <c r="E57" s="5">
        <v>270.89999999999998</v>
      </c>
      <c r="F57" s="5">
        <v>247.2</v>
      </c>
      <c r="G57" s="5">
        <f t="shared" si="5"/>
        <v>-23.699999999999989</v>
      </c>
      <c r="H57" s="6">
        <f t="shared" si="6"/>
        <v>-8.7486157253599081E-2</v>
      </c>
      <c r="I57" s="6">
        <v>0.87954621212121198</v>
      </c>
      <c r="J57" s="6">
        <v>0.989628888888889</v>
      </c>
      <c r="K57" s="6">
        <f t="shared" si="7"/>
        <v>0.11008267676767702</v>
      </c>
      <c r="L57" s="6">
        <v>0.97701969696969704</v>
      </c>
      <c r="M57" s="6">
        <v>1</v>
      </c>
      <c r="N57" s="6">
        <f t="shared" si="8"/>
        <v>2.2980303030302962E-2</v>
      </c>
      <c r="O57" s="6">
        <v>0.68434545454545503</v>
      </c>
      <c r="P57" s="6">
        <v>0.94777333333333302</v>
      </c>
      <c r="Q57" s="6">
        <f t="shared" si="9"/>
        <v>0.26342787878787799</v>
      </c>
    </row>
    <row r="58" spans="1:17">
      <c r="A58" s="7">
        <v>50</v>
      </c>
      <c r="B58" s="7" t="s">
        <v>57</v>
      </c>
      <c r="C58" s="7" t="s">
        <v>20</v>
      </c>
      <c r="D58" s="8" t="s">
        <v>107</v>
      </c>
      <c r="E58" s="9">
        <v>242.8</v>
      </c>
      <c r="F58" s="9">
        <v>196.4</v>
      </c>
      <c r="G58" s="9">
        <f t="shared" si="5"/>
        <v>-46.400000000000006</v>
      </c>
      <c r="H58" s="10">
        <f t="shared" si="6"/>
        <v>-0.19110378912685339</v>
      </c>
      <c r="I58" s="10">
        <v>0.85122171717171702</v>
      </c>
      <c r="J58" s="10">
        <v>0.86610888888888904</v>
      </c>
      <c r="K58" s="10">
        <f t="shared" si="7"/>
        <v>1.4887171717172021E-2</v>
      </c>
      <c r="L58" s="10">
        <v>1</v>
      </c>
      <c r="M58" s="10">
        <v>1</v>
      </c>
      <c r="N58" s="10">
        <f t="shared" si="8"/>
        <v>0</v>
      </c>
      <c r="O58" s="10">
        <v>0.68965151515151502</v>
      </c>
      <c r="P58" s="10">
        <v>0.58109999999999995</v>
      </c>
      <c r="Q58" s="10">
        <f t="shared" si="9"/>
        <v>-0.10855151515151507</v>
      </c>
    </row>
    <row r="59" spans="1:17">
      <c r="A59" s="3">
        <v>51</v>
      </c>
      <c r="B59" s="3" t="s">
        <v>57</v>
      </c>
      <c r="C59" s="3" t="s">
        <v>20</v>
      </c>
      <c r="D59" s="4" t="s">
        <v>108</v>
      </c>
      <c r="E59" s="5">
        <v>529.1</v>
      </c>
      <c r="F59" s="5">
        <v>464.6</v>
      </c>
      <c r="G59" s="5">
        <f t="shared" si="5"/>
        <v>-64.5</v>
      </c>
      <c r="H59" s="6">
        <f t="shared" si="6"/>
        <v>-0.1219051219051219</v>
      </c>
      <c r="I59" s="6">
        <v>0.86069040404040398</v>
      </c>
      <c r="J59" s="6">
        <v>0.87499777777777799</v>
      </c>
      <c r="K59" s="6">
        <f t="shared" si="7"/>
        <v>1.4307373737374007E-2</v>
      </c>
      <c r="L59" s="6">
        <v>0.71489999999999998</v>
      </c>
      <c r="M59" s="6">
        <v>0.799993333333333</v>
      </c>
      <c r="N59" s="6">
        <f t="shared" si="8"/>
        <v>8.5093333333333021E-2</v>
      </c>
      <c r="O59" s="6">
        <v>0.95454545454545503</v>
      </c>
      <c r="P59" s="6">
        <v>1</v>
      </c>
      <c r="Q59" s="6">
        <f t="shared" si="9"/>
        <v>4.545454545454497E-2</v>
      </c>
    </row>
    <row r="60" spans="1:17">
      <c r="A60" s="7">
        <v>52</v>
      </c>
      <c r="B60" s="7" t="s">
        <v>57</v>
      </c>
      <c r="C60" s="7" t="s">
        <v>20</v>
      </c>
      <c r="D60" s="8" t="s">
        <v>109</v>
      </c>
      <c r="E60" s="9">
        <v>271.89999999999998</v>
      </c>
      <c r="F60" s="9">
        <v>206.6</v>
      </c>
      <c r="G60" s="9">
        <f t="shared" si="5"/>
        <v>-65.299999999999983</v>
      </c>
      <c r="H60" s="10">
        <f t="shared" si="6"/>
        <v>-0.24016182420007351</v>
      </c>
      <c r="I60" s="10">
        <v>0.86708737373737399</v>
      </c>
      <c r="J60" s="10">
        <v>0.94444444444444398</v>
      </c>
      <c r="K60" s="10">
        <f t="shared" si="7"/>
        <v>7.7357070707069986E-2</v>
      </c>
      <c r="L60" s="10">
        <v>0.99974696969696997</v>
      </c>
      <c r="M60" s="10">
        <v>1</v>
      </c>
      <c r="N60" s="10">
        <f t="shared" si="8"/>
        <v>2.5303030303003293E-4</v>
      </c>
      <c r="O60" s="10">
        <v>0.87449242424242402</v>
      </c>
      <c r="P60" s="10">
        <v>0.95221999999999996</v>
      </c>
      <c r="Q60" s="10">
        <f t="shared" si="9"/>
        <v>7.772757575757594E-2</v>
      </c>
    </row>
    <row r="61" spans="1:17">
      <c r="A61" s="3">
        <v>53</v>
      </c>
      <c r="B61" s="3" t="s">
        <v>57</v>
      </c>
      <c r="C61" s="3" t="s">
        <v>20</v>
      </c>
      <c r="D61" s="4" t="s">
        <v>110</v>
      </c>
      <c r="E61" s="5">
        <v>253.6</v>
      </c>
      <c r="F61" s="5">
        <v>179.6</v>
      </c>
      <c r="G61" s="5">
        <f t="shared" si="5"/>
        <v>-74</v>
      </c>
      <c r="H61" s="6">
        <f t="shared" si="6"/>
        <v>-0.29179810725552052</v>
      </c>
      <c r="I61" s="6">
        <v>0.81443585858585898</v>
      </c>
      <c r="J61" s="6">
        <v>0.97611222222222205</v>
      </c>
      <c r="K61" s="6">
        <f t="shared" si="7"/>
        <v>0.16167636363636306</v>
      </c>
      <c r="L61" s="6">
        <v>0.91994696969696999</v>
      </c>
      <c r="M61" s="6">
        <v>0.99666666666666703</v>
      </c>
      <c r="N61" s="6">
        <f t="shared" si="8"/>
        <v>7.6719696969697049E-2</v>
      </c>
      <c r="O61" s="6">
        <v>0.76086212121212105</v>
      </c>
      <c r="P61" s="6">
        <v>1</v>
      </c>
      <c r="Q61" s="6">
        <f t="shared" si="9"/>
        <v>0.23913787878787895</v>
      </c>
    </row>
    <row r="62" spans="1:17">
      <c r="A62" s="7">
        <v>54</v>
      </c>
      <c r="B62" s="7" t="s">
        <v>57</v>
      </c>
      <c r="C62" s="7" t="s">
        <v>20</v>
      </c>
      <c r="D62" s="8" t="s">
        <v>111</v>
      </c>
      <c r="E62" s="9">
        <v>320.39999999999998</v>
      </c>
      <c r="F62" s="9">
        <v>240.2</v>
      </c>
      <c r="G62" s="9">
        <f t="shared" si="5"/>
        <v>-80.199999999999989</v>
      </c>
      <c r="H62" s="10">
        <f t="shared" si="6"/>
        <v>-0.25031210986267166</v>
      </c>
      <c r="I62" s="10">
        <v>0.85450303030302999</v>
      </c>
      <c r="J62" s="10">
        <v>0.93907222222222198</v>
      </c>
      <c r="K62" s="10">
        <f t="shared" si="7"/>
        <v>8.4569191919191988E-2</v>
      </c>
      <c r="L62" s="10">
        <v>0.93535606060606102</v>
      </c>
      <c r="M62" s="10">
        <v>0.99888666666666703</v>
      </c>
      <c r="N62" s="10">
        <f t="shared" si="8"/>
        <v>6.353060606060601E-2</v>
      </c>
      <c r="O62" s="10">
        <v>0.80555454545454497</v>
      </c>
      <c r="P62" s="10">
        <v>0.90777333333333299</v>
      </c>
      <c r="Q62" s="10">
        <f t="shared" si="9"/>
        <v>0.10221878787878802</v>
      </c>
    </row>
    <row r="63" spans="1:17">
      <c r="A63" s="3">
        <v>55</v>
      </c>
      <c r="B63" s="3" t="s">
        <v>112</v>
      </c>
      <c r="C63" s="3" t="s">
        <v>33</v>
      </c>
      <c r="D63" s="4" t="s">
        <v>113</v>
      </c>
      <c r="E63" s="5">
        <v>453.5</v>
      </c>
      <c r="F63" s="5">
        <v>642.6</v>
      </c>
      <c r="G63" s="5">
        <f t="shared" si="5"/>
        <v>189.10000000000002</v>
      </c>
      <c r="H63" s="6">
        <f t="shared" si="6"/>
        <v>0.41697905181918415</v>
      </c>
      <c r="I63" s="6">
        <v>0.85492449494949496</v>
      </c>
      <c r="J63" s="6">
        <v>0.86296444444444398</v>
      </c>
      <c r="K63" s="6">
        <f t="shared" si="7"/>
        <v>8.0399494949490169E-3</v>
      </c>
      <c r="L63" s="6">
        <v>1</v>
      </c>
      <c r="M63" s="6">
        <v>1</v>
      </c>
      <c r="N63" s="6">
        <f t="shared" si="8"/>
        <v>0</v>
      </c>
      <c r="O63" s="6">
        <v>0.82424545454545495</v>
      </c>
      <c r="P63" s="6">
        <v>0.93444666666666698</v>
      </c>
      <c r="Q63" s="6">
        <f t="shared" si="9"/>
        <v>0.11020121212121203</v>
      </c>
    </row>
    <row r="64" spans="1:17">
      <c r="A64" s="7">
        <v>56</v>
      </c>
      <c r="B64" s="7" t="s">
        <v>112</v>
      </c>
      <c r="C64" s="7" t="s">
        <v>39</v>
      </c>
      <c r="D64" s="8" t="s">
        <v>114</v>
      </c>
      <c r="E64" s="9">
        <v>709</v>
      </c>
      <c r="F64" s="9">
        <v>829.4</v>
      </c>
      <c r="G64" s="9">
        <f t="shared" si="5"/>
        <v>120.39999999999998</v>
      </c>
      <c r="H64" s="10">
        <f t="shared" si="6"/>
        <v>0.16981664315937939</v>
      </c>
      <c r="I64" s="10">
        <v>0.88467828282828298</v>
      </c>
      <c r="J64" s="10">
        <v>0.86184777777777799</v>
      </c>
      <c r="K64" s="10">
        <f t="shared" si="7"/>
        <v>-2.283050505050499E-2</v>
      </c>
      <c r="L64" s="10">
        <v>1</v>
      </c>
      <c r="M64" s="10">
        <v>1</v>
      </c>
      <c r="N64" s="10">
        <f t="shared" si="8"/>
        <v>0</v>
      </c>
      <c r="O64" s="10">
        <v>0.83333333333333304</v>
      </c>
      <c r="P64" s="10">
        <v>0.82332000000000005</v>
      </c>
      <c r="Q64" s="10">
        <f t="shared" si="9"/>
        <v>-1.0013333333332985E-2</v>
      </c>
    </row>
    <row r="65" spans="1:17">
      <c r="A65" s="3">
        <v>57</v>
      </c>
      <c r="B65" s="3" t="s">
        <v>112</v>
      </c>
      <c r="C65" s="3" t="s">
        <v>40</v>
      </c>
      <c r="D65" s="4" t="s">
        <v>115</v>
      </c>
      <c r="E65" s="5">
        <v>304.8</v>
      </c>
      <c r="F65" s="5">
        <v>415.8</v>
      </c>
      <c r="G65" s="5">
        <f t="shared" si="5"/>
        <v>111</v>
      </c>
      <c r="H65" s="6">
        <f t="shared" si="6"/>
        <v>0.36417322834645666</v>
      </c>
      <c r="I65" s="6">
        <v>0.89722222222222203</v>
      </c>
      <c r="J65" s="6">
        <v>0.96407444444444501</v>
      </c>
      <c r="K65" s="6">
        <f t="shared" si="7"/>
        <v>6.6852222222222979E-2</v>
      </c>
      <c r="L65" s="6">
        <v>1</v>
      </c>
      <c r="M65" s="6">
        <v>1</v>
      </c>
      <c r="N65" s="6">
        <f t="shared" si="8"/>
        <v>0</v>
      </c>
      <c r="O65" s="6">
        <v>0.75328030303030302</v>
      </c>
      <c r="P65" s="6">
        <v>0.89556000000000002</v>
      </c>
      <c r="Q65" s="6">
        <f t="shared" si="9"/>
        <v>0.142279696969697</v>
      </c>
    </row>
    <row r="66" spans="1:17">
      <c r="A66" s="7">
        <v>58</v>
      </c>
      <c r="B66" s="7" t="s">
        <v>112</v>
      </c>
      <c r="C66" s="7" t="s">
        <v>38</v>
      </c>
      <c r="D66" s="8" t="s">
        <v>116</v>
      </c>
      <c r="E66" s="9">
        <v>310.10000000000002</v>
      </c>
      <c r="F66" s="9">
        <v>419.2</v>
      </c>
      <c r="G66" s="9">
        <f t="shared" si="5"/>
        <v>109.09999999999997</v>
      </c>
      <c r="H66" s="10">
        <f t="shared" si="6"/>
        <v>0.35182199290551419</v>
      </c>
      <c r="I66" s="10">
        <v>0.88973055555555602</v>
      </c>
      <c r="J66" s="10">
        <v>0.90537000000000001</v>
      </c>
      <c r="K66" s="10">
        <f t="shared" si="7"/>
        <v>1.5639444444443984E-2</v>
      </c>
      <c r="L66" s="10">
        <v>0.99494848484848497</v>
      </c>
      <c r="M66" s="10">
        <v>1</v>
      </c>
      <c r="N66" s="10">
        <f t="shared" si="8"/>
        <v>5.0515151515150292E-3</v>
      </c>
      <c r="O66" s="10">
        <v>0.978028787878788</v>
      </c>
      <c r="P66" s="10">
        <v>0.93777333333333301</v>
      </c>
      <c r="Q66" s="10">
        <f t="shared" si="9"/>
        <v>-4.0255454545454983E-2</v>
      </c>
    </row>
    <row r="67" spans="1:17">
      <c r="A67" s="3">
        <v>59</v>
      </c>
      <c r="B67" s="3" t="s">
        <v>112</v>
      </c>
      <c r="C67" s="3" t="s">
        <v>37</v>
      </c>
      <c r="D67" s="4" t="s">
        <v>117</v>
      </c>
      <c r="E67" s="5">
        <v>577</v>
      </c>
      <c r="F67" s="5">
        <v>684.6</v>
      </c>
      <c r="G67" s="5">
        <f t="shared" si="5"/>
        <v>107.60000000000002</v>
      </c>
      <c r="H67" s="6">
        <f t="shared" si="6"/>
        <v>0.18648180242634319</v>
      </c>
      <c r="I67" s="6">
        <v>0.82946085858585905</v>
      </c>
      <c r="J67" s="6">
        <v>0.85407777777777805</v>
      </c>
      <c r="K67" s="6">
        <f t="shared" si="7"/>
        <v>2.4616919191918996E-2</v>
      </c>
      <c r="L67" s="6">
        <v>0.93711818181818196</v>
      </c>
      <c r="M67" s="6">
        <v>0.91112000000000004</v>
      </c>
      <c r="N67" s="6">
        <f t="shared" si="8"/>
        <v>-2.599818181818192E-2</v>
      </c>
      <c r="O67" s="6">
        <v>0.82828030303030298</v>
      </c>
      <c r="P67" s="6">
        <v>0.91444666666666696</v>
      </c>
      <c r="Q67" s="6">
        <f t="shared" si="9"/>
        <v>8.6166363636363985E-2</v>
      </c>
    </row>
    <row r="68" spans="1:17">
      <c r="A68" s="7">
        <v>60</v>
      </c>
      <c r="B68" s="7" t="s">
        <v>112</v>
      </c>
      <c r="C68" s="7" t="s">
        <v>37</v>
      </c>
      <c r="D68" s="8" t="s">
        <v>118</v>
      </c>
      <c r="E68" s="9">
        <v>518.29999999999995</v>
      </c>
      <c r="F68" s="9">
        <v>625</v>
      </c>
      <c r="G68" s="9">
        <f t="shared" si="5"/>
        <v>106.70000000000005</v>
      </c>
      <c r="H68" s="10">
        <f t="shared" si="6"/>
        <v>0.20586532896006185</v>
      </c>
      <c r="I68" s="10">
        <v>0.86376161616161595</v>
      </c>
      <c r="J68" s="10">
        <v>0.96611222222222204</v>
      </c>
      <c r="K68" s="10">
        <f t="shared" si="7"/>
        <v>0.10235060606060609</v>
      </c>
      <c r="L68" s="10">
        <v>0.93661666666666699</v>
      </c>
      <c r="M68" s="10">
        <v>0.98444666666666703</v>
      </c>
      <c r="N68" s="10">
        <f t="shared" si="8"/>
        <v>4.7830000000000039E-2</v>
      </c>
      <c r="O68" s="10">
        <v>0.80000151515151496</v>
      </c>
      <c r="P68" s="10">
        <v>0.97111333333333305</v>
      </c>
      <c r="Q68" s="10">
        <f t="shared" si="9"/>
        <v>0.17111181818181809</v>
      </c>
    </row>
    <row r="69" spans="1:17">
      <c r="A69" s="3">
        <v>61</v>
      </c>
      <c r="B69" s="3" t="s">
        <v>112</v>
      </c>
      <c r="C69" s="3" t="s">
        <v>33</v>
      </c>
      <c r="D69" s="4" t="s">
        <v>119</v>
      </c>
      <c r="E69" s="5">
        <v>304.10000000000002</v>
      </c>
      <c r="F69" s="5">
        <v>409.2</v>
      </c>
      <c r="G69" s="5">
        <f t="shared" si="5"/>
        <v>105.09999999999997</v>
      </c>
      <c r="H69" s="6">
        <f t="shared" si="6"/>
        <v>0.34560999671160786</v>
      </c>
      <c r="I69" s="6">
        <v>0.88619621212121202</v>
      </c>
      <c r="J69" s="6">
        <v>0.83981555555555498</v>
      </c>
      <c r="K69" s="6">
        <f t="shared" si="7"/>
        <v>-4.6380656565657041E-2</v>
      </c>
      <c r="L69" s="6">
        <v>0.63914090909090904</v>
      </c>
      <c r="M69" s="6">
        <v>0.51000666666666705</v>
      </c>
      <c r="N69" s="6">
        <f t="shared" si="8"/>
        <v>-0.12913424242424199</v>
      </c>
      <c r="O69" s="6">
        <v>1</v>
      </c>
      <c r="P69" s="6">
        <v>0.98221999999999998</v>
      </c>
      <c r="Q69" s="6">
        <f t="shared" si="9"/>
        <v>-1.7780000000000018E-2</v>
      </c>
    </row>
    <row r="70" spans="1:17">
      <c r="A70" s="7">
        <v>62</v>
      </c>
      <c r="B70" s="7" t="s">
        <v>112</v>
      </c>
      <c r="C70" s="7" t="s">
        <v>34</v>
      </c>
      <c r="D70" s="8" t="s">
        <v>120</v>
      </c>
      <c r="E70" s="9">
        <v>517.9</v>
      </c>
      <c r="F70" s="9">
        <v>618.79999999999995</v>
      </c>
      <c r="G70" s="9">
        <f t="shared" si="5"/>
        <v>100.89999999999998</v>
      </c>
      <c r="H70" s="10">
        <f t="shared" si="6"/>
        <v>0.19482525584089588</v>
      </c>
      <c r="I70" s="10">
        <v>0.89869393939393905</v>
      </c>
      <c r="J70" s="10">
        <v>0.88722222222222202</v>
      </c>
      <c r="K70" s="10">
        <f t="shared" si="7"/>
        <v>-1.1471717171717022E-2</v>
      </c>
      <c r="L70" s="10">
        <v>0.95959545454545503</v>
      </c>
      <c r="M70" s="10">
        <v>0.92666666666666697</v>
      </c>
      <c r="N70" s="10">
        <f t="shared" si="8"/>
        <v>-3.2928787878788057E-2</v>
      </c>
      <c r="O70" s="10">
        <v>0.84873484848484904</v>
      </c>
      <c r="P70" s="10">
        <v>0.84443999999999997</v>
      </c>
      <c r="Q70" s="10">
        <f t="shared" si="9"/>
        <v>-4.2948484848490676E-3</v>
      </c>
    </row>
    <row r="71" spans="1:17">
      <c r="A71" s="3">
        <v>63</v>
      </c>
      <c r="B71" s="3" t="s">
        <v>112</v>
      </c>
      <c r="C71" s="3" t="s">
        <v>37</v>
      </c>
      <c r="D71" s="4" t="s">
        <v>121</v>
      </c>
      <c r="E71" s="5">
        <v>372.3</v>
      </c>
      <c r="F71" s="5">
        <v>471.4</v>
      </c>
      <c r="G71" s="5">
        <f t="shared" si="5"/>
        <v>99.099999999999966</v>
      </c>
      <c r="H71" s="6">
        <f t="shared" si="6"/>
        <v>0.26618318560300824</v>
      </c>
      <c r="I71" s="6">
        <v>0.86460404040404004</v>
      </c>
      <c r="J71" s="6">
        <v>0.93185111111111096</v>
      </c>
      <c r="K71" s="6">
        <f t="shared" si="7"/>
        <v>6.7247070707070922E-2</v>
      </c>
      <c r="L71" s="6">
        <v>1</v>
      </c>
      <c r="M71" s="6">
        <v>1</v>
      </c>
      <c r="N71" s="6">
        <f t="shared" si="8"/>
        <v>0</v>
      </c>
      <c r="O71" s="6">
        <v>0.61969696969696997</v>
      </c>
      <c r="P71" s="6">
        <v>0.86333333333333295</v>
      </c>
      <c r="Q71" s="6">
        <f t="shared" si="9"/>
        <v>0.24363636363636298</v>
      </c>
    </row>
    <row r="72" spans="1:17">
      <c r="A72" s="7">
        <v>64</v>
      </c>
      <c r="B72" s="7" t="s">
        <v>112</v>
      </c>
      <c r="C72" s="7" t="s">
        <v>33</v>
      </c>
      <c r="D72" s="8" t="s">
        <v>122</v>
      </c>
      <c r="E72" s="9">
        <v>211.7</v>
      </c>
      <c r="F72" s="9">
        <v>308.8</v>
      </c>
      <c r="G72" s="9">
        <f t="shared" si="5"/>
        <v>97.100000000000023</v>
      </c>
      <c r="H72" s="10">
        <f t="shared" si="6"/>
        <v>0.45866792631081732</v>
      </c>
      <c r="I72" s="10">
        <v>0.88009166666666705</v>
      </c>
      <c r="J72" s="10">
        <v>0.90610888888888896</v>
      </c>
      <c r="K72" s="10">
        <f t="shared" si="7"/>
        <v>2.6017222222221914E-2</v>
      </c>
      <c r="L72" s="10">
        <v>0.72373636363636396</v>
      </c>
      <c r="M72" s="10">
        <v>0.85333333333333306</v>
      </c>
      <c r="N72" s="10">
        <f t="shared" si="8"/>
        <v>0.1295969696969691</v>
      </c>
      <c r="O72" s="10">
        <v>0.990151515151515</v>
      </c>
      <c r="P72" s="10">
        <v>0.94110666666666698</v>
      </c>
      <c r="Q72" s="10">
        <f t="shared" si="9"/>
        <v>-4.9044848484848025E-2</v>
      </c>
    </row>
    <row r="73" spans="1:17">
      <c r="A73" s="3">
        <v>65</v>
      </c>
      <c r="B73" s="3" t="s">
        <v>112</v>
      </c>
      <c r="C73" s="3" t="s">
        <v>34</v>
      </c>
      <c r="D73" s="4" t="s">
        <v>123</v>
      </c>
      <c r="E73" s="5">
        <v>207.5</v>
      </c>
      <c r="F73" s="5">
        <v>301</v>
      </c>
      <c r="G73" s="5">
        <f t="shared" ref="G73:G104" si="10">IF(OR(E73="",F73=""),"",F73-E73)</f>
        <v>93.5</v>
      </c>
      <c r="H73" s="6">
        <f t="shared" ref="H73:H104" si="11">IF(OR(E73="",F73="",E73=0),"",(F73-E73)/E73)</f>
        <v>0.45060240963855419</v>
      </c>
      <c r="I73" s="6">
        <v>0.85959570707070698</v>
      </c>
      <c r="J73" s="6">
        <v>0.96685111111111099</v>
      </c>
      <c r="K73" s="6">
        <f t="shared" ref="K73:K104" si="12">IF(OR(I73="",J73=""),"",J73-I73)</f>
        <v>0.10725540404040401</v>
      </c>
      <c r="L73" s="6">
        <v>0.58560606060606102</v>
      </c>
      <c r="M73" s="6">
        <v>0.87555333333333296</v>
      </c>
      <c r="N73" s="6">
        <f t="shared" ref="N73:N104" si="13">IF(OR(L73="",M73=""),"",M73-L73)</f>
        <v>0.28994727272727194</v>
      </c>
      <c r="O73" s="6">
        <v>0.97171666666666701</v>
      </c>
      <c r="P73" s="6">
        <v>1</v>
      </c>
      <c r="Q73" s="6">
        <f t="shared" ref="Q73:Q104" si="14">IF(OR(O73="",P73=""),"",P73-O73)</f>
        <v>2.8283333333332994E-2</v>
      </c>
    </row>
    <row r="74" spans="1:17">
      <c r="A74" s="7">
        <v>66</v>
      </c>
      <c r="B74" s="7" t="s">
        <v>112</v>
      </c>
      <c r="C74" s="7" t="s">
        <v>33</v>
      </c>
      <c r="D74" s="8" t="s">
        <v>124</v>
      </c>
      <c r="E74" s="9">
        <v>358.3</v>
      </c>
      <c r="F74" s="9">
        <v>439.8</v>
      </c>
      <c r="G74" s="9">
        <f t="shared" si="10"/>
        <v>81.5</v>
      </c>
      <c r="H74" s="10">
        <f t="shared" si="11"/>
        <v>0.22746301981579681</v>
      </c>
      <c r="I74" s="10">
        <v>0.85336742424242396</v>
      </c>
      <c r="J74" s="10">
        <v>0.91037111111111102</v>
      </c>
      <c r="K74" s="10">
        <f t="shared" si="12"/>
        <v>5.7003686868687065E-2</v>
      </c>
      <c r="L74" s="10">
        <v>1</v>
      </c>
      <c r="M74" s="10">
        <v>1</v>
      </c>
      <c r="N74" s="10">
        <f t="shared" si="13"/>
        <v>0</v>
      </c>
      <c r="O74" s="10">
        <v>0.90707272727272703</v>
      </c>
      <c r="P74" s="10">
        <v>0.95221999999999996</v>
      </c>
      <c r="Q74" s="10">
        <f t="shared" si="14"/>
        <v>4.5147272727272925E-2</v>
      </c>
    </row>
    <row r="75" spans="1:17">
      <c r="A75" s="3">
        <v>67</v>
      </c>
      <c r="B75" s="3" t="s">
        <v>112</v>
      </c>
      <c r="C75" s="3" t="s">
        <v>33</v>
      </c>
      <c r="D75" s="4" t="s">
        <v>125</v>
      </c>
      <c r="E75" s="5">
        <v>206.6</v>
      </c>
      <c r="F75" s="5">
        <v>284.39999999999998</v>
      </c>
      <c r="G75" s="5">
        <f t="shared" si="10"/>
        <v>77.799999999999983</v>
      </c>
      <c r="H75" s="6">
        <f t="shared" si="11"/>
        <v>0.37657308809293311</v>
      </c>
      <c r="I75" s="6">
        <v>0.79162474747474798</v>
      </c>
      <c r="J75" s="6">
        <v>0.78722000000000003</v>
      </c>
      <c r="K75" s="6">
        <f t="shared" si="12"/>
        <v>-4.4047474747479498E-3</v>
      </c>
      <c r="L75" s="6">
        <v>1</v>
      </c>
      <c r="M75" s="6">
        <v>1</v>
      </c>
      <c r="N75" s="6">
        <f t="shared" si="13"/>
        <v>0</v>
      </c>
      <c r="O75" s="6">
        <v>0.64595909090909098</v>
      </c>
      <c r="P75" s="6">
        <v>0.67999333333333301</v>
      </c>
      <c r="Q75" s="6">
        <f t="shared" si="14"/>
        <v>3.4034242424242023E-2</v>
      </c>
    </row>
    <row r="76" spans="1:17">
      <c r="A76" s="7">
        <v>68</v>
      </c>
      <c r="B76" s="7" t="s">
        <v>112</v>
      </c>
      <c r="C76" s="7" t="s">
        <v>33</v>
      </c>
      <c r="D76" s="8" t="s">
        <v>126</v>
      </c>
      <c r="E76" s="9">
        <v>233.4</v>
      </c>
      <c r="F76" s="9">
        <v>308.8</v>
      </c>
      <c r="G76" s="9">
        <f t="shared" si="10"/>
        <v>75.400000000000006</v>
      </c>
      <c r="H76" s="10">
        <f t="shared" si="11"/>
        <v>0.32305055698371893</v>
      </c>
      <c r="I76" s="10">
        <v>0.81401489898989898</v>
      </c>
      <c r="J76" s="10">
        <v>0.80703555555555595</v>
      </c>
      <c r="K76" s="10">
        <f t="shared" si="12"/>
        <v>-6.9793434343430327E-3</v>
      </c>
      <c r="L76" s="10">
        <v>0.57701818181818199</v>
      </c>
      <c r="M76" s="10">
        <v>0.37999333333333302</v>
      </c>
      <c r="N76" s="10">
        <f t="shared" si="13"/>
        <v>-0.19702484848484897</v>
      </c>
      <c r="O76" s="10">
        <v>0.92398787878787902</v>
      </c>
      <c r="P76" s="10">
        <v>0.97665999999999997</v>
      </c>
      <c r="Q76" s="10">
        <f t="shared" si="14"/>
        <v>5.2672121212120948E-2</v>
      </c>
    </row>
    <row r="77" spans="1:17">
      <c r="A77" s="3">
        <v>69</v>
      </c>
      <c r="B77" s="3" t="s">
        <v>112</v>
      </c>
      <c r="C77" s="3" t="s">
        <v>33</v>
      </c>
      <c r="D77" s="4" t="s">
        <v>127</v>
      </c>
      <c r="E77" s="5">
        <v>586</v>
      </c>
      <c r="F77" s="5">
        <v>661</v>
      </c>
      <c r="G77" s="5">
        <f t="shared" si="10"/>
        <v>75</v>
      </c>
      <c r="H77" s="6">
        <f t="shared" si="11"/>
        <v>0.12798634812286688</v>
      </c>
      <c r="I77" s="6">
        <v>0.85058888888888895</v>
      </c>
      <c r="J77" s="6">
        <v>0.83240555555555595</v>
      </c>
      <c r="K77" s="6">
        <f t="shared" si="12"/>
        <v>-1.8183333333332996E-2</v>
      </c>
      <c r="L77" s="6">
        <v>0.99873787878787901</v>
      </c>
      <c r="M77" s="6">
        <v>1</v>
      </c>
      <c r="N77" s="6">
        <f t="shared" si="13"/>
        <v>1.2621212121209924E-3</v>
      </c>
      <c r="O77" s="6">
        <v>0.86919393939393896</v>
      </c>
      <c r="P77" s="6">
        <v>0.80777333333333301</v>
      </c>
      <c r="Q77" s="6">
        <f t="shared" si="14"/>
        <v>-6.1420606060605953E-2</v>
      </c>
    </row>
    <row r="78" spans="1:17">
      <c r="A78" s="7">
        <v>70</v>
      </c>
      <c r="B78" s="7" t="s">
        <v>112</v>
      </c>
      <c r="C78" s="7" t="s">
        <v>34</v>
      </c>
      <c r="D78" s="8" t="s">
        <v>128</v>
      </c>
      <c r="E78" s="9">
        <v>355.5</v>
      </c>
      <c r="F78" s="9">
        <v>427.8</v>
      </c>
      <c r="G78" s="9">
        <f t="shared" si="10"/>
        <v>72.300000000000011</v>
      </c>
      <c r="H78" s="10">
        <f t="shared" si="11"/>
        <v>0.20337552742616036</v>
      </c>
      <c r="I78" s="10">
        <v>0.85054696969696997</v>
      </c>
      <c r="J78" s="10">
        <v>0.92185333333333297</v>
      </c>
      <c r="K78" s="10">
        <f t="shared" si="12"/>
        <v>7.1306363636363002E-2</v>
      </c>
      <c r="L78" s="10">
        <v>0.99924242424242404</v>
      </c>
      <c r="M78" s="10">
        <v>0.99778</v>
      </c>
      <c r="N78" s="10">
        <f t="shared" si="13"/>
        <v>-1.462424242424043E-3</v>
      </c>
      <c r="O78" s="10">
        <v>0.79040303030303005</v>
      </c>
      <c r="P78" s="10">
        <v>0.96666666666666701</v>
      </c>
      <c r="Q78" s="10">
        <f t="shared" si="14"/>
        <v>0.17626363636363696</v>
      </c>
    </row>
    <row r="79" spans="1:17">
      <c r="A79" s="3">
        <v>71</v>
      </c>
      <c r="B79" s="3" t="s">
        <v>112</v>
      </c>
      <c r="C79" s="3" t="s">
        <v>34</v>
      </c>
      <c r="D79" s="4" t="s">
        <v>129</v>
      </c>
      <c r="E79" s="5">
        <v>342.4</v>
      </c>
      <c r="F79" s="5">
        <v>414</v>
      </c>
      <c r="G79" s="5">
        <f t="shared" si="10"/>
        <v>71.600000000000023</v>
      </c>
      <c r="H79" s="6">
        <f t="shared" si="11"/>
        <v>0.20911214953271037</v>
      </c>
      <c r="I79" s="6">
        <v>0.87491666666666701</v>
      </c>
      <c r="J79" s="6">
        <v>0.85314666666666705</v>
      </c>
      <c r="K79" s="6">
        <f t="shared" si="12"/>
        <v>-2.1769999999999956E-2</v>
      </c>
      <c r="L79" s="6">
        <v>1</v>
      </c>
      <c r="M79" s="6">
        <v>1</v>
      </c>
      <c r="N79" s="6">
        <f t="shared" si="13"/>
        <v>0</v>
      </c>
      <c r="O79" s="6">
        <v>0.68914545454545495</v>
      </c>
      <c r="P79" s="6">
        <v>0.73777333333333295</v>
      </c>
      <c r="Q79" s="6">
        <f t="shared" si="14"/>
        <v>4.8627878787877998E-2</v>
      </c>
    </row>
    <row r="80" spans="1:17">
      <c r="A80" s="7">
        <v>72</v>
      </c>
      <c r="B80" s="7" t="s">
        <v>112</v>
      </c>
      <c r="C80" s="7" t="s">
        <v>40</v>
      </c>
      <c r="D80" s="8" t="s">
        <v>130</v>
      </c>
      <c r="E80" s="9">
        <v>120</v>
      </c>
      <c r="F80" s="9">
        <v>186</v>
      </c>
      <c r="G80" s="9">
        <f t="shared" si="10"/>
        <v>66</v>
      </c>
      <c r="H80" s="10">
        <f t="shared" si="11"/>
        <v>0.55000000000000004</v>
      </c>
      <c r="I80" s="10">
        <v>0.83964570707070696</v>
      </c>
      <c r="J80" s="10">
        <v>0.95240999999999998</v>
      </c>
      <c r="K80" s="10">
        <f t="shared" si="12"/>
        <v>0.11276429292929302</v>
      </c>
      <c r="L80" s="10">
        <v>0.73130757575757599</v>
      </c>
      <c r="M80" s="10">
        <v>0.96111333333333304</v>
      </c>
      <c r="N80" s="10">
        <f t="shared" si="13"/>
        <v>0.22980575757575705</v>
      </c>
      <c r="O80" s="10">
        <v>0.91211969696969697</v>
      </c>
      <c r="P80" s="10">
        <v>1</v>
      </c>
      <c r="Q80" s="10">
        <f t="shared" si="14"/>
        <v>8.7880303030303031E-2</v>
      </c>
    </row>
    <row r="81" spans="1:17">
      <c r="A81" s="3">
        <v>73</v>
      </c>
      <c r="B81" s="3" t="s">
        <v>112</v>
      </c>
      <c r="C81" s="3" t="s">
        <v>34</v>
      </c>
      <c r="D81" s="4" t="s">
        <v>131</v>
      </c>
      <c r="E81" s="5">
        <v>184</v>
      </c>
      <c r="F81" s="5">
        <v>249.8</v>
      </c>
      <c r="G81" s="5">
        <f t="shared" si="10"/>
        <v>65.800000000000011</v>
      </c>
      <c r="H81" s="6">
        <f t="shared" si="11"/>
        <v>0.35760869565217396</v>
      </c>
      <c r="I81" s="6">
        <v>0.82432904040403998</v>
      </c>
      <c r="J81" s="6">
        <v>0.95648222222222201</v>
      </c>
      <c r="K81" s="6">
        <f t="shared" si="12"/>
        <v>0.13215318181818203</v>
      </c>
      <c r="L81" s="6">
        <v>0.72348787878787901</v>
      </c>
      <c r="M81" s="6">
        <v>0.98888666666666702</v>
      </c>
      <c r="N81" s="6">
        <f t="shared" si="13"/>
        <v>0.26539878787878801</v>
      </c>
      <c r="O81" s="6">
        <v>0.86111515151515206</v>
      </c>
      <c r="P81" s="6">
        <v>0.98555333333333295</v>
      </c>
      <c r="Q81" s="6">
        <f t="shared" si="14"/>
        <v>0.12443818181818089</v>
      </c>
    </row>
    <row r="82" spans="1:17">
      <c r="A82" s="7">
        <v>74</v>
      </c>
      <c r="B82" s="7" t="s">
        <v>112</v>
      </c>
      <c r="C82" s="7" t="s">
        <v>35</v>
      </c>
      <c r="D82" s="8" t="s">
        <v>132</v>
      </c>
      <c r="E82" s="9">
        <v>131.1</v>
      </c>
      <c r="F82" s="9">
        <v>194.4</v>
      </c>
      <c r="G82" s="9">
        <f t="shared" si="10"/>
        <v>63.300000000000011</v>
      </c>
      <c r="H82" s="10">
        <f t="shared" si="11"/>
        <v>0.4828375286041191</v>
      </c>
      <c r="I82" s="10">
        <v>0.86014343434343399</v>
      </c>
      <c r="J82" s="10">
        <v>0.92166444444444395</v>
      </c>
      <c r="K82" s="10">
        <f t="shared" si="12"/>
        <v>6.1521010101009965E-2</v>
      </c>
      <c r="L82" s="10">
        <v>0.79040151515151502</v>
      </c>
      <c r="M82" s="10">
        <v>0.84333333333333305</v>
      </c>
      <c r="N82" s="10">
        <f t="shared" si="13"/>
        <v>5.2931818181818024E-2</v>
      </c>
      <c r="O82" s="10">
        <v>0.96035757575757597</v>
      </c>
      <c r="P82" s="10">
        <v>0.99888666666666703</v>
      </c>
      <c r="Q82" s="10">
        <f t="shared" si="14"/>
        <v>3.8529090909091068E-2</v>
      </c>
    </row>
    <row r="83" spans="1:17">
      <c r="A83" s="3">
        <v>75</v>
      </c>
      <c r="B83" s="3" t="s">
        <v>112</v>
      </c>
      <c r="C83" s="3" t="s">
        <v>34</v>
      </c>
      <c r="D83" s="4" t="s">
        <v>133</v>
      </c>
      <c r="E83" s="5">
        <v>138.5</v>
      </c>
      <c r="F83" s="5">
        <v>201</v>
      </c>
      <c r="G83" s="5">
        <f t="shared" si="10"/>
        <v>62.5</v>
      </c>
      <c r="H83" s="6">
        <f t="shared" si="11"/>
        <v>0.45126353790613716</v>
      </c>
      <c r="I83" s="6">
        <v>0.84524419191919198</v>
      </c>
      <c r="J83" s="6">
        <v>0.91426333333333298</v>
      </c>
      <c r="K83" s="6">
        <f t="shared" si="12"/>
        <v>6.9019141414141005E-2</v>
      </c>
      <c r="L83" s="6">
        <v>0.59040909090909099</v>
      </c>
      <c r="M83" s="6">
        <v>0.90778666666666696</v>
      </c>
      <c r="N83" s="6">
        <f t="shared" si="13"/>
        <v>0.31737757575757597</v>
      </c>
      <c r="O83" s="6">
        <v>0.98560606060606104</v>
      </c>
      <c r="P83" s="6">
        <v>0.98666666666666702</v>
      </c>
      <c r="Q83" s="6">
        <f t="shared" si="14"/>
        <v>1.0606060606059842E-3</v>
      </c>
    </row>
    <row r="84" spans="1:17">
      <c r="A84" s="7">
        <v>76</v>
      </c>
      <c r="B84" s="7" t="s">
        <v>112</v>
      </c>
      <c r="C84" s="7" t="s">
        <v>33</v>
      </c>
      <c r="D84" s="8" t="s">
        <v>134</v>
      </c>
      <c r="E84" s="9">
        <v>220.6</v>
      </c>
      <c r="F84" s="9">
        <v>281</v>
      </c>
      <c r="G84" s="9">
        <f t="shared" si="10"/>
        <v>60.400000000000006</v>
      </c>
      <c r="H84" s="10">
        <f t="shared" si="11"/>
        <v>0.27379873073436084</v>
      </c>
      <c r="I84" s="10">
        <v>0.84469873737373702</v>
      </c>
      <c r="J84" s="10">
        <v>0.81296333333333304</v>
      </c>
      <c r="K84" s="10">
        <f t="shared" si="12"/>
        <v>-3.1735404040403981E-2</v>
      </c>
      <c r="L84" s="10">
        <v>1</v>
      </c>
      <c r="M84" s="10">
        <v>1</v>
      </c>
      <c r="N84" s="10">
        <f t="shared" si="13"/>
        <v>0</v>
      </c>
      <c r="O84" s="10">
        <v>0.73889393939393899</v>
      </c>
      <c r="P84" s="10">
        <v>0.76</v>
      </c>
      <c r="Q84" s="10">
        <f t="shared" si="14"/>
        <v>2.1106060606061017E-2</v>
      </c>
    </row>
    <row r="85" spans="1:17">
      <c r="A85" s="3">
        <v>77</v>
      </c>
      <c r="B85" s="3" t="s">
        <v>112</v>
      </c>
      <c r="C85" s="3" t="s">
        <v>33</v>
      </c>
      <c r="D85" s="4" t="s">
        <v>135</v>
      </c>
      <c r="E85" s="5">
        <v>399.9</v>
      </c>
      <c r="F85" s="5">
        <v>459.6</v>
      </c>
      <c r="G85" s="5">
        <f t="shared" si="10"/>
        <v>59.700000000000045</v>
      </c>
      <c r="H85" s="6">
        <f t="shared" si="11"/>
        <v>0.14928732183045773</v>
      </c>
      <c r="I85" s="6">
        <v>0.83497449494949505</v>
      </c>
      <c r="J85" s="6">
        <v>0.84741</v>
      </c>
      <c r="K85" s="6">
        <f t="shared" si="12"/>
        <v>1.2435505050504947E-2</v>
      </c>
      <c r="L85" s="6">
        <v>1</v>
      </c>
      <c r="M85" s="6">
        <v>1</v>
      </c>
      <c r="N85" s="6">
        <f t="shared" si="13"/>
        <v>0</v>
      </c>
      <c r="O85" s="6">
        <v>0.67247424242424303</v>
      </c>
      <c r="P85" s="6">
        <v>0.83667333333333305</v>
      </c>
      <c r="Q85" s="6">
        <f t="shared" si="14"/>
        <v>0.16419909090909002</v>
      </c>
    </row>
    <row r="86" spans="1:17">
      <c r="A86" s="7">
        <v>78</v>
      </c>
      <c r="B86" s="7" t="s">
        <v>112</v>
      </c>
      <c r="C86" s="7" t="s">
        <v>33</v>
      </c>
      <c r="D86" s="8" t="s">
        <v>136</v>
      </c>
      <c r="E86" s="9">
        <v>348.4</v>
      </c>
      <c r="F86" s="9">
        <v>407.6</v>
      </c>
      <c r="G86" s="9">
        <f t="shared" si="10"/>
        <v>59.200000000000045</v>
      </c>
      <c r="H86" s="10">
        <f t="shared" si="11"/>
        <v>0.16991963260619991</v>
      </c>
      <c r="I86" s="10">
        <v>0.86321565656565702</v>
      </c>
      <c r="J86" s="10">
        <v>0.84314777777777805</v>
      </c>
      <c r="K86" s="10">
        <f t="shared" si="12"/>
        <v>-2.0067878787878968E-2</v>
      </c>
      <c r="L86" s="10">
        <v>1</v>
      </c>
      <c r="M86" s="10">
        <v>1</v>
      </c>
      <c r="N86" s="10">
        <f t="shared" si="13"/>
        <v>0</v>
      </c>
      <c r="O86" s="10">
        <v>0.90959696969697001</v>
      </c>
      <c r="P86" s="10">
        <v>0.84444666666666701</v>
      </c>
      <c r="Q86" s="10">
        <f t="shared" si="14"/>
        <v>-6.5150303030303003E-2</v>
      </c>
    </row>
    <row r="87" spans="1:17">
      <c r="A87" s="3">
        <v>79</v>
      </c>
      <c r="B87" s="3" t="s">
        <v>112</v>
      </c>
      <c r="C87" s="3" t="s">
        <v>33</v>
      </c>
      <c r="D87" s="4" t="s">
        <v>137</v>
      </c>
      <c r="E87" s="5">
        <v>198</v>
      </c>
      <c r="F87" s="5">
        <v>255.2</v>
      </c>
      <c r="G87" s="5">
        <f t="shared" si="10"/>
        <v>57.199999999999989</v>
      </c>
      <c r="H87" s="6">
        <f t="shared" si="11"/>
        <v>0.28888888888888881</v>
      </c>
      <c r="I87" s="6">
        <v>0.89120328282828298</v>
      </c>
      <c r="J87" s="6">
        <v>0.95</v>
      </c>
      <c r="K87" s="6">
        <f t="shared" si="12"/>
        <v>5.8796717171716972E-2</v>
      </c>
      <c r="L87" s="6">
        <v>1</v>
      </c>
      <c r="M87" s="6">
        <v>1</v>
      </c>
      <c r="N87" s="6">
        <f t="shared" si="13"/>
        <v>0</v>
      </c>
      <c r="O87" s="6">
        <v>0.94040303030302996</v>
      </c>
      <c r="P87" s="6">
        <v>1</v>
      </c>
      <c r="Q87" s="6">
        <f t="shared" si="14"/>
        <v>5.9596969696970037E-2</v>
      </c>
    </row>
    <row r="88" spans="1:17">
      <c r="A88" s="7">
        <v>80</v>
      </c>
      <c r="B88" s="7" t="s">
        <v>112</v>
      </c>
      <c r="C88" s="7" t="s">
        <v>34</v>
      </c>
      <c r="D88" s="8" t="s">
        <v>138</v>
      </c>
      <c r="E88" s="9">
        <v>206.1</v>
      </c>
      <c r="F88" s="9">
        <v>261.60000000000002</v>
      </c>
      <c r="G88" s="9">
        <f t="shared" si="10"/>
        <v>55.500000000000028</v>
      </c>
      <c r="H88" s="10">
        <f t="shared" si="11"/>
        <v>0.26928675400291135</v>
      </c>
      <c r="I88" s="10">
        <v>0.89330845959595995</v>
      </c>
      <c r="J88" s="10">
        <v>0.88379444444444399</v>
      </c>
      <c r="K88" s="10">
        <f t="shared" si="12"/>
        <v>-9.5140151515159532E-3</v>
      </c>
      <c r="L88" s="10">
        <v>0.77449545454545499</v>
      </c>
      <c r="M88" s="10">
        <v>0.74833000000000005</v>
      </c>
      <c r="N88" s="10">
        <f t="shared" si="13"/>
        <v>-2.6165454545454936E-2</v>
      </c>
      <c r="O88" s="10">
        <v>0.97348560606060597</v>
      </c>
      <c r="P88" s="10">
        <v>0.94166333333333296</v>
      </c>
      <c r="Q88" s="10">
        <f t="shared" si="14"/>
        <v>-3.1822272727273004E-2</v>
      </c>
    </row>
    <row r="89" spans="1:17">
      <c r="A89" s="3">
        <v>81</v>
      </c>
      <c r="B89" s="3" t="s">
        <v>112</v>
      </c>
      <c r="C89" s="3" t="s">
        <v>33</v>
      </c>
      <c r="D89" s="4" t="s">
        <v>139</v>
      </c>
      <c r="E89" s="5">
        <v>697.3</v>
      </c>
      <c r="F89" s="5">
        <v>752.4</v>
      </c>
      <c r="G89" s="5">
        <f t="shared" si="10"/>
        <v>55.100000000000023</v>
      </c>
      <c r="H89" s="6">
        <f t="shared" si="11"/>
        <v>7.9019073569482332E-2</v>
      </c>
      <c r="I89" s="6">
        <v>0.86380454545454499</v>
      </c>
      <c r="J89" s="6">
        <v>0.826108888888889</v>
      </c>
      <c r="K89" s="6">
        <f t="shared" si="12"/>
        <v>-3.7695656565655988E-2</v>
      </c>
      <c r="L89" s="6">
        <v>1</v>
      </c>
      <c r="M89" s="6">
        <v>1</v>
      </c>
      <c r="N89" s="6">
        <f t="shared" si="13"/>
        <v>0</v>
      </c>
      <c r="O89" s="6">
        <v>0.77273030303030299</v>
      </c>
      <c r="P89" s="6">
        <v>0.76221333333333297</v>
      </c>
      <c r="Q89" s="6">
        <f t="shared" si="14"/>
        <v>-1.0516969696970024E-2</v>
      </c>
    </row>
    <row r="90" spans="1:17">
      <c r="A90" s="7">
        <v>82</v>
      </c>
      <c r="B90" s="7" t="s">
        <v>112</v>
      </c>
      <c r="C90" s="7" t="s">
        <v>41</v>
      </c>
      <c r="D90" s="8" t="s">
        <v>140</v>
      </c>
      <c r="E90" s="9">
        <v>537.29999999999995</v>
      </c>
      <c r="F90" s="9">
        <v>592</v>
      </c>
      <c r="G90" s="9">
        <f t="shared" si="10"/>
        <v>54.700000000000045</v>
      </c>
      <c r="H90" s="10">
        <f t="shared" si="11"/>
        <v>0.10180532291085065</v>
      </c>
      <c r="I90" s="10">
        <v>0.86607727272727297</v>
      </c>
      <c r="J90" s="10">
        <v>0.85258888888888895</v>
      </c>
      <c r="K90" s="10">
        <f t="shared" si="12"/>
        <v>-1.3488383838384022E-2</v>
      </c>
      <c r="L90" s="10">
        <v>0.969693939393939</v>
      </c>
      <c r="M90" s="10">
        <v>0.98332666666666702</v>
      </c>
      <c r="N90" s="10">
        <f t="shared" si="13"/>
        <v>1.3632727272728018E-2</v>
      </c>
      <c r="O90" s="10">
        <v>0.77853636363636403</v>
      </c>
      <c r="P90" s="10">
        <v>0.88777333333333297</v>
      </c>
      <c r="Q90" s="10">
        <f t="shared" si="14"/>
        <v>0.10923696969696894</v>
      </c>
    </row>
    <row r="91" spans="1:17">
      <c r="A91" s="3">
        <v>83</v>
      </c>
      <c r="B91" s="3" t="s">
        <v>112</v>
      </c>
      <c r="C91" s="3" t="s">
        <v>37</v>
      </c>
      <c r="D91" s="4" t="s">
        <v>141</v>
      </c>
      <c r="E91" s="5">
        <v>257.5</v>
      </c>
      <c r="F91" s="5">
        <v>312.2</v>
      </c>
      <c r="G91" s="5">
        <f t="shared" si="10"/>
        <v>54.699999999999989</v>
      </c>
      <c r="H91" s="6">
        <f t="shared" si="11"/>
        <v>0.21242718446601938</v>
      </c>
      <c r="I91" s="6">
        <v>0.89823333333333299</v>
      </c>
      <c r="J91" s="6">
        <v>0.86055444444444396</v>
      </c>
      <c r="K91" s="6">
        <f t="shared" si="12"/>
        <v>-3.7678888888889039E-2</v>
      </c>
      <c r="L91" s="6">
        <v>0.99949545454545496</v>
      </c>
      <c r="M91" s="6">
        <v>0.96443999999999996</v>
      </c>
      <c r="N91" s="6">
        <f t="shared" si="13"/>
        <v>-3.5055454545455E-2</v>
      </c>
      <c r="O91" s="6">
        <v>0.92626515151515199</v>
      </c>
      <c r="P91" s="6">
        <v>0.913333333333333</v>
      </c>
      <c r="Q91" s="6">
        <f t="shared" si="14"/>
        <v>-1.2931818181818988E-2</v>
      </c>
    </row>
    <row r="92" spans="1:17">
      <c r="A92" s="7">
        <v>84</v>
      </c>
      <c r="B92" s="7" t="s">
        <v>112</v>
      </c>
      <c r="C92" s="7" t="s">
        <v>34</v>
      </c>
      <c r="D92" s="8" t="s">
        <v>142</v>
      </c>
      <c r="E92" s="9">
        <v>193.2</v>
      </c>
      <c r="F92" s="9">
        <v>246.8</v>
      </c>
      <c r="G92" s="9">
        <f t="shared" si="10"/>
        <v>53.600000000000023</v>
      </c>
      <c r="H92" s="10">
        <f t="shared" si="11"/>
        <v>0.27743271221532106</v>
      </c>
      <c r="I92" s="10">
        <v>0.89806338383838402</v>
      </c>
      <c r="J92" s="10">
        <v>0.90592333333333297</v>
      </c>
      <c r="K92" s="10">
        <f t="shared" si="12"/>
        <v>7.8599494949489479E-3</v>
      </c>
      <c r="L92" s="10">
        <v>0.687622727272727</v>
      </c>
      <c r="M92" s="10">
        <v>0.73888666666666702</v>
      </c>
      <c r="N92" s="10">
        <f t="shared" si="13"/>
        <v>5.1263939393940028E-2</v>
      </c>
      <c r="O92" s="10">
        <v>1</v>
      </c>
      <c r="P92" s="10">
        <v>1</v>
      </c>
      <c r="Q92" s="10">
        <f t="shared" si="14"/>
        <v>0</v>
      </c>
    </row>
    <row r="93" spans="1:17">
      <c r="A93" s="3">
        <v>85</v>
      </c>
      <c r="B93" s="3" t="s">
        <v>112</v>
      </c>
      <c r="C93" s="3" t="s">
        <v>33</v>
      </c>
      <c r="D93" s="4" t="s">
        <v>143</v>
      </c>
      <c r="E93" s="5">
        <v>144.4</v>
      </c>
      <c r="F93" s="5">
        <v>197.6</v>
      </c>
      <c r="G93" s="5">
        <f t="shared" si="10"/>
        <v>53.199999999999989</v>
      </c>
      <c r="H93" s="6">
        <f t="shared" si="11"/>
        <v>0.36842105263157887</v>
      </c>
      <c r="I93" s="6">
        <v>0.88358611111111096</v>
      </c>
      <c r="J93" s="6">
        <v>0.95166666666666699</v>
      </c>
      <c r="K93" s="6">
        <f t="shared" si="12"/>
        <v>6.8080555555556033E-2</v>
      </c>
      <c r="L93" s="6">
        <v>1</v>
      </c>
      <c r="M93" s="6">
        <v>1</v>
      </c>
      <c r="N93" s="6">
        <f t="shared" si="13"/>
        <v>0</v>
      </c>
      <c r="O93" s="6">
        <v>0.70479999999999998</v>
      </c>
      <c r="P93" s="6">
        <v>0.98555333333333295</v>
      </c>
      <c r="Q93" s="6">
        <f t="shared" si="14"/>
        <v>0.28075333333333297</v>
      </c>
    </row>
    <row r="94" spans="1:17">
      <c r="A94" s="7">
        <v>86</v>
      </c>
      <c r="B94" s="7" t="s">
        <v>112</v>
      </c>
      <c r="C94" s="7" t="s">
        <v>33</v>
      </c>
      <c r="D94" s="8" t="s">
        <v>144</v>
      </c>
      <c r="E94" s="9">
        <v>109.2</v>
      </c>
      <c r="F94" s="9">
        <v>161.4</v>
      </c>
      <c r="G94" s="9">
        <f t="shared" si="10"/>
        <v>52.2</v>
      </c>
      <c r="H94" s="10">
        <f t="shared" si="11"/>
        <v>0.47802197802197804</v>
      </c>
      <c r="I94" s="10">
        <v>0.76763535353535395</v>
      </c>
      <c r="J94" s="10">
        <v>0.84611111111111104</v>
      </c>
      <c r="K94" s="10">
        <f t="shared" si="12"/>
        <v>7.8475757575757088E-2</v>
      </c>
      <c r="L94" s="10">
        <v>0.66464999999999996</v>
      </c>
      <c r="M94" s="10">
        <v>0.64444666666666695</v>
      </c>
      <c r="N94" s="10">
        <f t="shared" si="13"/>
        <v>-2.0203333333333018E-2</v>
      </c>
      <c r="O94" s="10">
        <v>0.81136818181818204</v>
      </c>
      <c r="P94" s="10">
        <v>0.98555333333333295</v>
      </c>
      <c r="Q94" s="10">
        <f t="shared" si="14"/>
        <v>0.1741851515151509</v>
      </c>
    </row>
    <row r="95" spans="1:17">
      <c r="A95" s="3">
        <v>87</v>
      </c>
      <c r="B95" s="3" t="s">
        <v>112</v>
      </c>
      <c r="C95" s="3" t="s">
        <v>40</v>
      </c>
      <c r="D95" s="4" t="s">
        <v>145</v>
      </c>
      <c r="E95" s="5">
        <v>120.6</v>
      </c>
      <c r="F95" s="5">
        <v>172.6</v>
      </c>
      <c r="G95" s="5">
        <f t="shared" si="10"/>
        <v>52</v>
      </c>
      <c r="H95" s="6">
        <f t="shared" si="11"/>
        <v>0.43117744610281927</v>
      </c>
      <c r="I95" s="6">
        <v>0.86157474747474805</v>
      </c>
      <c r="J95" s="6">
        <v>0.99185222222222202</v>
      </c>
      <c r="K95" s="6">
        <f t="shared" si="12"/>
        <v>0.13027747474747398</v>
      </c>
      <c r="L95" s="6">
        <v>0.65227727272727298</v>
      </c>
      <c r="M95" s="6">
        <v>0.95333333333333303</v>
      </c>
      <c r="N95" s="6">
        <f t="shared" si="13"/>
        <v>0.30105606060606005</v>
      </c>
      <c r="O95" s="6">
        <v>0.90025151515151502</v>
      </c>
      <c r="P95" s="6">
        <v>1</v>
      </c>
      <c r="Q95" s="6">
        <f t="shared" si="14"/>
        <v>9.9748484848484975E-2</v>
      </c>
    </row>
    <row r="96" spans="1:17">
      <c r="A96" s="7">
        <v>88</v>
      </c>
      <c r="B96" s="7" t="s">
        <v>112</v>
      </c>
      <c r="C96" s="7" t="s">
        <v>33</v>
      </c>
      <c r="D96" s="8" t="s">
        <v>146</v>
      </c>
      <c r="E96" s="9">
        <v>237.6</v>
      </c>
      <c r="F96" s="9">
        <v>288.39999999999998</v>
      </c>
      <c r="G96" s="9">
        <f t="shared" si="10"/>
        <v>50.799999999999983</v>
      </c>
      <c r="H96" s="10">
        <f t="shared" si="11"/>
        <v>0.21380471380471375</v>
      </c>
      <c r="I96" s="10">
        <v>0.85290429292929304</v>
      </c>
      <c r="J96" s="10">
        <v>0.88944333333333303</v>
      </c>
      <c r="K96" s="10">
        <f t="shared" si="12"/>
        <v>3.6539040404039991E-2</v>
      </c>
      <c r="L96" s="10">
        <v>1</v>
      </c>
      <c r="M96" s="10">
        <v>1</v>
      </c>
      <c r="N96" s="10">
        <f t="shared" si="13"/>
        <v>0</v>
      </c>
      <c r="O96" s="10">
        <v>0.80808030303030298</v>
      </c>
      <c r="P96" s="10">
        <v>0.90888666666666695</v>
      </c>
      <c r="Q96" s="10">
        <f t="shared" si="14"/>
        <v>0.10080636363636397</v>
      </c>
    </row>
    <row r="97" spans="1:17">
      <c r="A97" s="3">
        <v>89</v>
      </c>
      <c r="B97" s="3" t="s">
        <v>112</v>
      </c>
      <c r="C97" s="3" t="s">
        <v>38</v>
      </c>
      <c r="D97" s="4" t="s">
        <v>147</v>
      </c>
      <c r="E97" s="5">
        <v>162.80000000000001</v>
      </c>
      <c r="F97" s="5">
        <v>213</v>
      </c>
      <c r="G97" s="5">
        <f t="shared" si="10"/>
        <v>50.199999999999989</v>
      </c>
      <c r="H97" s="6">
        <f t="shared" si="11"/>
        <v>0.30835380835380827</v>
      </c>
      <c r="I97" s="6">
        <v>0.82887247474747505</v>
      </c>
      <c r="J97" s="6">
        <v>0.839445555555556</v>
      </c>
      <c r="K97" s="6">
        <f t="shared" si="12"/>
        <v>1.0573080808080948E-2</v>
      </c>
      <c r="L97" s="6">
        <v>0.54798030303030298</v>
      </c>
      <c r="M97" s="6">
        <v>0.61444666666666703</v>
      </c>
      <c r="N97" s="6">
        <f t="shared" si="13"/>
        <v>6.6466363636364045E-2</v>
      </c>
      <c r="O97" s="6">
        <v>0.96994999999999998</v>
      </c>
      <c r="P97" s="6">
        <v>0.99888666666666703</v>
      </c>
      <c r="Q97" s="6">
        <f t="shared" si="14"/>
        <v>2.8936666666667055E-2</v>
      </c>
    </row>
    <row r="98" spans="1:17">
      <c r="A98" s="7">
        <v>90</v>
      </c>
      <c r="B98" s="7" t="s">
        <v>112</v>
      </c>
      <c r="C98" s="7" t="s">
        <v>33</v>
      </c>
      <c r="D98" s="8" t="s">
        <v>148</v>
      </c>
      <c r="E98" s="9">
        <v>197.2</v>
      </c>
      <c r="F98" s="9">
        <v>246.4</v>
      </c>
      <c r="G98" s="9">
        <f t="shared" si="10"/>
        <v>49.200000000000017</v>
      </c>
      <c r="H98" s="10">
        <f t="shared" si="11"/>
        <v>0.24949290060851936</v>
      </c>
      <c r="I98" s="10">
        <v>0.89183661616161602</v>
      </c>
      <c r="J98" s="10">
        <v>0.94796333333333305</v>
      </c>
      <c r="K98" s="10">
        <f t="shared" si="12"/>
        <v>5.6126717171717022E-2</v>
      </c>
      <c r="L98" s="10">
        <v>0.82803333333333295</v>
      </c>
      <c r="M98" s="10">
        <v>0.94888666666666699</v>
      </c>
      <c r="N98" s="10">
        <f t="shared" si="13"/>
        <v>0.12085333333333403</v>
      </c>
      <c r="O98" s="10">
        <v>0.96515151515151498</v>
      </c>
      <c r="P98" s="10">
        <v>0.93555333333333301</v>
      </c>
      <c r="Q98" s="10">
        <f t="shared" si="14"/>
        <v>-2.9598181818181968E-2</v>
      </c>
    </row>
    <row r="99" spans="1:17">
      <c r="A99" s="3">
        <v>91</v>
      </c>
      <c r="B99" s="3" t="s">
        <v>112</v>
      </c>
      <c r="C99" s="3" t="s">
        <v>39</v>
      </c>
      <c r="D99" s="4" t="s">
        <v>149</v>
      </c>
      <c r="E99" s="5">
        <v>128.19999999999999</v>
      </c>
      <c r="F99" s="5">
        <v>177</v>
      </c>
      <c r="G99" s="5">
        <f t="shared" si="10"/>
        <v>48.800000000000011</v>
      </c>
      <c r="H99" s="6">
        <f t="shared" si="11"/>
        <v>0.38065522620904846</v>
      </c>
      <c r="I99" s="6">
        <v>0.87439750000000005</v>
      </c>
      <c r="J99" s="6">
        <v>0.93370222222222199</v>
      </c>
      <c r="K99" s="6">
        <f t="shared" si="12"/>
        <v>5.9304722222221939E-2</v>
      </c>
      <c r="L99" s="6">
        <v>0.82722166666666697</v>
      </c>
      <c r="M99" s="6">
        <v>0.84555333333333305</v>
      </c>
      <c r="N99" s="6">
        <f t="shared" si="13"/>
        <v>1.833166666666608E-2</v>
      </c>
      <c r="O99" s="6">
        <v>0.92888833333333298</v>
      </c>
      <c r="P99" s="6">
        <v>0.961106666666667</v>
      </c>
      <c r="Q99" s="6">
        <f t="shared" si="14"/>
        <v>3.2218333333334015E-2</v>
      </c>
    </row>
    <row r="100" spans="1:17">
      <c r="A100" s="7">
        <v>92</v>
      </c>
      <c r="B100" s="7" t="s">
        <v>112</v>
      </c>
      <c r="C100" s="7" t="s">
        <v>39</v>
      </c>
      <c r="D100" s="8" t="s">
        <v>150</v>
      </c>
      <c r="E100" s="9">
        <v>374.3</v>
      </c>
      <c r="F100" s="9">
        <v>422.8</v>
      </c>
      <c r="G100" s="9">
        <f t="shared" si="10"/>
        <v>48.5</v>
      </c>
      <c r="H100" s="10">
        <f t="shared" si="11"/>
        <v>0.12957520705316591</v>
      </c>
      <c r="I100" s="10">
        <v>0.89326515151515196</v>
      </c>
      <c r="J100" s="10">
        <v>0.91018666666666703</v>
      </c>
      <c r="K100" s="10">
        <f t="shared" si="12"/>
        <v>1.6921515151515076E-2</v>
      </c>
      <c r="L100" s="10">
        <v>0.76085454545454501</v>
      </c>
      <c r="M100" s="10">
        <v>0.80112000000000005</v>
      </c>
      <c r="N100" s="10">
        <f t="shared" si="13"/>
        <v>4.0265454545455048E-2</v>
      </c>
      <c r="O100" s="10">
        <v>0.995201515151515</v>
      </c>
      <c r="P100" s="10">
        <v>0.98</v>
      </c>
      <c r="Q100" s="10">
        <f t="shared" si="14"/>
        <v>-1.5201515151515022E-2</v>
      </c>
    </row>
    <row r="101" spans="1:17">
      <c r="A101" s="3">
        <v>93</v>
      </c>
      <c r="B101" s="3" t="s">
        <v>112</v>
      </c>
      <c r="C101" s="3" t="s">
        <v>33</v>
      </c>
      <c r="D101" s="4" t="s">
        <v>151</v>
      </c>
      <c r="E101" s="5">
        <v>315.7</v>
      </c>
      <c r="F101" s="5">
        <v>364.2</v>
      </c>
      <c r="G101" s="5">
        <f t="shared" si="10"/>
        <v>48.5</v>
      </c>
      <c r="H101" s="6">
        <f t="shared" si="11"/>
        <v>0.15362686094393413</v>
      </c>
      <c r="I101" s="6">
        <v>0.80989015151515198</v>
      </c>
      <c r="J101" s="6">
        <v>0.83221888888888895</v>
      </c>
      <c r="K101" s="6">
        <f t="shared" si="12"/>
        <v>2.2328737373736973E-2</v>
      </c>
      <c r="L101" s="6">
        <v>0.99671818181818195</v>
      </c>
      <c r="M101" s="6">
        <v>1</v>
      </c>
      <c r="N101" s="6">
        <f t="shared" si="13"/>
        <v>3.2818181818180525E-3</v>
      </c>
      <c r="O101" s="6">
        <v>0.66338181818181796</v>
      </c>
      <c r="P101" s="6">
        <v>0.75666</v>
      </c>
      <c r="Q101" s="6">
        <f t="shared" si="14"/>
        <v>9.3278181818182038E-2</v>
      </c>
    </row>
    <row r="102" spans="1:17">
      <c r="A102" s="7">
        <v>94</v>
      </c>
      <c r="B102" s="7" t="s">
        <v>112</v>
      </c>
      <c r="C102" s="7" t="s">
        <v>35</v>
      </c>
      <c r="D102" s="8" t="s">
        <v>152</v>
      </c>
      <c r="E102" s="9">
        <v>113.2</v>
      </c>
      <c r="F102" s="9">
        <v>161.6</v>
      </c>
      <c r="G102" s="9">
        <f t="shared" si="10"/>
        <v>48.399999999999991</v>
      </c>
      <c r="H102" s="10">
        <f t="shared" si="11"/>
        <v>0.42756183745583032</v>
      </c>
      <c r="I102" s="10">
        <v>0.87761470588235302</v>
      </c>
      <c r="J102" s="10">
        <v>0.96000111111111097</v>
      </c>
      <c r="K102" s="10">
        <f t="shared" si="12"/>
        <v>8.2386405228757953E-2</v>
      </c>
      <c r="L102" s="10">
        <v>0.76438039215686304</v>
      </c>
      <c r="M102" s="10">
        <v>0.92333333333333401</v>
      </c>
      <c r="N102" s="10">
        <f t="shared" si="13"/>
        <v>0.15895294117647096</v>
      </c>
      <c r="O102" s="10">
        <v>0.94901960784313699</v>
      </c>
      <c r="P102" s="10">
        <v>1</v>
      </c>
      <c r="Q102" s="10">
        <f t="shared" si="14"/>
        <v>5.0980392156863008E-2</v>
      </c>
    </row>
    <row r="103" spans="1:17">
      <c r="A103" s="3">
        <v>95</v>
      </c>
      <c r="B103" s="3" t="s">
        <v>112</v>
      </c>
      <c r="C103" s="3" t="s">
        <v>33</v>
      </c>
      <c r="D103" s="4" t="s">
        <v>153</v>
      </c>
      <c r="E103" s="5">
        <v>125.2</v>
      </c>
      <c r="F103" s="5">
        <v>172.4</v>
      </c>
      <c r="G103" s="5">
        <f t="shared" si="10"/>
        <v>47.2</v>
      </c>
      <c r="H103" s="6">
        <f t="shared" si="11"/>
        <v>0.3769968051118211</v>
      </c>
      <c r="I103" s="6">
        <v>0.87798838383838396</v>
      </c>
      <c r="J103" s="6">
        <v>0.91036666666666699</v>
      </c>
      <c r="K103" s="6">
        <f t="shared" si="12"/>
        <v>3.2378282828283034E-2</v>
      </c>
      <c r="L103" s="6">
        <v>0.70757575757575797</v>
      </c>
      <c r="M103" s="6">
        <v>0.73554666666666702</v>
      </c>
      <c r="N103" s="6">
        <f t="shared" si="13"/>
        <v>2.7970909090909046E-2</v>
      </c>
      <c r="O103" s="6">
        <v>1</v>
      </c>
      <c r="P103" s="6">
        <v>0.98333333333333295</v>
      </c>
      <c r="Q103" s="6">
        <f t="shared" si="14"/>
        <v>-1.6666666666667052E-2</v>
      </c>
    </row>
    <row r="104" spans="1:17">
      <c r="A104" s="7">
        <v>96</v>
      </c>
      <c r="B104" s="7" t="s">
        <v>112</v>
      </c>
      <c r="C104" s="7" t="s">
        <v>40</v>
      </c>
      <c r="D104" s="8" t="s">
        <v>154</v>
      </c>
      <c r="E104" s="9">
        <v>113.5</v>
      </c>
      <c r="F104" s="9">
        <v>159.6</v>
      </c>
      <c r="G104" s="9">
        <f t="shared" si="10"/>
        <v>46.099999999999994</v>
      </c>
      <c r="H104" s="10">
        <f t="shared" si="11"/>
        <v>0.40616740088105724</v>
      </c>
      <c r="I104" s="10">
        <v>0.859680555555556</v>
      </c>
      <c r="J104" s="10">
        <v>0.92536888888888902</v>
      </c>
      <c r="K104" s="10">
        <f t="shared" si="12"/>
        <v>6.5688333333333015E-2</v>
      </c>
      <c r="L104" s="10">
        <v>0.77979545454545396</v>
      </c>
      <c r="M104" s="10">
        <v>0.89999333333333298</v>
      </c>
      <c r="N104" s="10">
        <f t="shared" si="13"/>
        <v>0.12019787878787902</v>
      </c>
      <c r="O104" s="10">
        <v>0.86717272727272698</v>
      </c>
      <c r="P104" s="10">
        <v>0.96221999999999996</v>
      </c>
      <c r="Q104" s="10">
        <f t="shared" si="14"/>
        <v>9.504727272727298E-2</v>
      </c>
    </row>
    <row r="105" spans="1:17">
      <c r="A105" s="3">
        <v>97</v>
      </c>
      <c r="B105" s="3" t="s">
        <v>112</v>
      </c>
      <c r="C105" s="3" t="s">
        <v>33</v>
      </c>
      <c r="D105" s="4" t="s">
        <v>155</v>
      </c>
      <c r="E105" s="5">
        <v>160.4</v>
      </c>
      <c r="F105" s="5">
        <v>206.4</v>
      </c>
      <c r="G105" s="5">
        <f t="shared" ref="G105:G136" si="15">IF(OR(E105="",F105=""),"",F105-E105)</f>
        <v>46</v>
      </c>
      <c r="H105" s="6">
        <f t="shared" ref="H105:H136" si="16">IF(OR(E105="",F105="",E105=0),"",(F105-E105)/E105)</f>
        <v>0.28678304239401498</v>
      </c>
      <c r="I105" s="6">
        <v>0.87996641414141397</v>
      </c>
      <c r="J105" s="6">
        <v>0.83796555555555596</v>
      </c>
      <c r="K105" s="6">
        <f t="shared" ref="K105:K136" si="17">IF(OR(I105="",J105=""),"",J105-I105)</f>
        <v>-4.2000858585858003E-2</v>
      </c>
      <c r="L105" s="6">
        <v>0.77701969696969697</v>
      </c>
      <c r="M105" s="6">
        <v>0.93667333333333302</v>
      </c>
      <c r="N105" s="6">
        <f t="shared" ref="N105:N136" si="18">IF(OR(L105="",M105=""),"",M105-L105)</f>
        <v>0.15965363636363605</v>
      </c>
      <c r="O105" s="6">
        <v>0.92575606060605997</v>
      </c>
      <c r="P105" s="6">
        <v>0.80555333333333301</v>
      </c>
      <c r="Q105" s="6">
        <f t="shared" ref="Q105:Q136" si="19">IF(OR(O105="",P105=""),"",P105-O105)</f>
        <v>-0.12020272727272696</v>
      </c>
    </row>
    <row r="106" spans="1:17">
      <c r="A106" s="7">
        <v>98</v>
      </c>
      <c r="B106" s="7" t="s">
        <v>112</v>
      </c>
      <c r="C106" s="7" t="s">
        <v>33</v>
      </c>
      <c r="D106" s="8" t="s">
        <v>156</v>
      </c>
      <c r="E106" s="9">
        <v>281.3</v>
      </c>
      <c r="F106" s="9">
        <v>326.8</v>
      </c>
      <c r="G106" s="9">
        <f t="shared" si="15"/>
        <v>45.5</v>
      </c>
      <c r="H106" s="10">
        <f t="shared" si="16"/>
        <v>0.16174902239601849</v>
      </c>
      <c r="I106" s="10">
        <v>0.79234141414141401</v>
      </c>
      <c r="J106" s="10">
        <v>0.806297777777778</v>
      </c>
      <c r="K106" s="10">
        <f t="shared" si="17"/>
        <v>1.3956363636363989E-2</v>
      </c>
      <c r="L106" s="10">
        <v>1</v>
      </c>
      <c r="M106" s="10">
        <v>1</v>
      </c>
      <c r="N106" s="10">
        <f t="shared" si="18"/>
        <v>0</v>
      </c>
      <c r="O106" s="10">
        <v>0.69545606060606102</v>
      </c>
      <c r="P106" s="10">
        <v>0.73223333333333296</v>
      </c>
      <c r="Q106" s="10">
        <f t="shared" si="19"/>
        <v>3.6777272727271937E-2</v>
      </c>
    </row>
    <row r="107" spans="1:17">
      <c r="A107" s="3">
        <v>99</v>
      </c>
      <c r="B107" s="3" t="s">
        <v>112</v>
      </c>
      <c r="C107" s="3" t="s">
        <v>33</v>
      </c>
      <c r="D107" s="4" t="s">
        <v>157</v>
      </c>
      <c r="E107" s="5">
        <v>109.4</v>
      </c>
      <c r="F107" s="5">
        <v>154.80000000000001</v>
      </c>
      <c r="G107" s="5">
        <f t="shared" si="15"/>
        <v>45.400000000000006</v>
      </c>
      <c r="H107" s="6">
        <f t="shared" si="16"/>
        <v>0.41499085923217555</v>
      </c>
      <c r="I107" s="6">
        <v>0.86649848484848502</v>
      </c>
      <c r="J107" s="6">
        <v>0.91185222222222195</v>
      </c>
      <c r="K107" s="6">
        <f t="shared" si="17"/>
        <v>4.5353737373736935E-2</v>
      </c>
      <c r="L107" s="6">
        <v>0.69191666666666696</v>
      </c>
      <c r="M107" s="6">
        <v>0.79554666666666696</v>
      </c>
      <c r="N107" s="6">
        <f t="shared" si="18"/>
        <v>0.10363</v>
      </c>
      <c r="O107" s="6">
        <v>0.99722272727272698</v>
      </c>
      <c r="P107" s="6">
        <v>1</v>
      </c>
      <c r="Q107" s="6">
        <f t="shared" si="19"/>
        <v>2.7772727272730169E-3</v>
      </c>
    </row>
    <row r="108" spans="1:17">
      <c r="A108" s="7">
        <v>100</v>
      </c>
      <c r="B108" s="7" t="s">
        <v>112</v>
      </c>
      <c r="C108" s="7" t="s">
        <v>35</v>
      </c>
      <c r="D108" s="8" t="s">
        <v>158</v>
      </c>
      <c r="E108" s="9">
        <v>295.8</v>
      </c>
      <c r="F108" s="9">
        <v>341.2</v>
      </c>
      <c r="G108" s="9">
        <f t="shared" si="15"/>
        <v>45.399999999999977</v>
      </c>
      <c r="H108" s="10">
        <f t="shared" si="16"/>
        <v>0.15348208248816761</v>
      </c>
      <c r="I108" s="10">
        <v>0.75046414141414097</v>
      </c>
      <c r="J108" s="10">
        <v>0.73722555555555602</v>
      </c>
      <c r="K108" s="10">
        <f t="shared" si="17"/>
        <v>-1.323858585858495E-2</v>
      </c>
      <c r="L108" s="10">
        <v>0.88282424242424196</v>
      </c>
      <c r="M108" s="10">
        <v>0.87444666666666704</v>
      </c>
      <c r="N108" s="10">
        <f t="shared" si="18"/>
        <v>-8.3775757575749177E-3</v>
      </c>
      <c r="O108" s="10">
        <v>0.51566363636363599</v>
      </c>
      <c r="P108" s="10">
        <v>0.61555333333333295</v>
      </c>
      <c r="Q108" s="10">
        <f t="shared" si="19"/>
        <v>9.9889696969696962E-2</v>
      </c>
    </row>
    <row r="109" spans="1:17">
      <c r="A109" s="3">
        <v>101</v>
      </c>
      <c r="B109" s="3" t="s">
        <v>112</v>
      </c>
      <c r="C109" s="3" t="s">
        <v>33</v>
      </c>
      <c r="D109" s="4" t="s">
        <v>159</v>
      </c>
      <c r="E109" s="5">
        <v>123.1</v>
      </c>
      <c r="F109" s="5">
        <v>167.8</v>
      </c>
      <c r="G109" s="5">
        <f t="shared" si="15"/>
        <v>44.700000000000017</v>
      </c>
      <c r="H109" s="6">
        <f t="shared" si="16"/>
        <v>0.36311941510966711</v>
      </c>
      <c r="I109" s="6">
        <v>0.82954494949494995</v>
      </c>
      <c r="J109" s="6">
        <v>0.88740888888888902</v>
      </c>
      <c r="K109" s="6">
        <f t="shared" si="17"/>
        <v>5.7863939393939079E-2</v>
      </c>
      <c r="L109" s="6">
        <v>0.90681666666666705</v>
      </c>
      <c r="M109" s="6">
        <v>0.98111333333333295</v>
      </c>
      <c r="N109" s="6">
        <f t="shared" si="18"/>
        <v>7.42966666666659E-2</v>
      </c>
      <c r="O109" s="6">
        <v>0.88105909090909096</v>
      </c>
      <c r="P109" s="6">
        <v>0.96333999999999997</v>
      </c>
      <c r="Q109" s="6">
        <f t="shared" si="19"/>
        <v>8.2280909090909016E-2</v>
      </c>
    </row>
    <row r="110" spans="1:17">
      <c r="A110" s="7">
        <v>102</v>
      </c>
      <c r="B110" s="7" t="s">
        <v>112</v>
      </c>
      <c r="C110" s="7" t="s">
        <v>33</v>
      </c>
      <c r="D110" s="8" t="s">
        <v>160</v>
      </c>
      <c r="E110" s="9">
        <v>455.6</v>
      </c>
      <c r="F110" s="9">
        <v>500.2</v>
      </c>
      <c r="G110" s="9">
        <f t="shared" si="15"/>
        <v>44.599999999999966</v>
      </c>
      <c r="H110" s="10">
        <f t="shared" si="16"/>
        <v>9.7892888498682981E-2</v>
      </c>
      <c r="I110" s="10">
        <v>0.81645580808080798</v>
      </c>
      <c r="J110" s="10">
        <v>0.86667000000000005</v>
      </c>
      <c r="K110" s="10">
        <f t="shared" si="17"/>
        <v>5.0214191919192075E-2</v>
      </c>
      <c r="L110" s="10">
        <v>1</v>
      </c>
      <c r="M110" s="10">
        <v>1</v>
      </c>
      <c r="N110" s="10">
        <f t="shared" si="18"/>
        <v>0</v>
      </c>
      <c r="O110" s="10">
        <v>0.787624242424242</v>
      </c>
      <c r="P110" s="10">
        <v>0.82667333333333404</v>
      </c>
      <c r="Q110" s="10">
        <f t="shared" si="19"/>
        <v>3.9049090909092032E-2</v>
      </c>
    </row>
    <row r="111" spans="1:17">
      <c r="A111" s="3">
        <v>103</v>
      </c>
      <c r="B111" s="3" t="s">
        <v>112</v>
      </c>
      <c r="C111" s="3" t="s">
        <v>33</v>
      </c>
      <c r="D111" s="4" t="s">
        <v>161</v>
      </c>
      <c r="E111" s="5">
        <v>140.80000000000001</v>
      </c>
      <c r="F111" s="5">
        <v>185</v>
      </c>
      <c r="G111" s="5">
        <f t="shared" si="15"/>
        <v>44.199999999999989</v>
      </c>
      <c r="H111" s="6">
        <f t="shared" si="16"/>
        <v>0.31392045454545442</v>
      </c>
      <c r="I111" s="6">
        <v>0.72870277777777803</v>
      </c>
      <c r="J111" s="6">
        <v>0.72648333333333304</v>
      </c>
      <c r="K111" s="6">
        <f t="shared" si="17"/>
        <v>-2.2194444444449957E-3</v>
      </c>
      <c r="L111" s="6">
        <v>1</v>
      </c>
      <c r="M111" s="6">
        <v>1</v>
      </c>
      <c r="N111" s="6">
        <f t="shared" si="18"/>
        <v>0</v>
      </c>
      <c r="O111" s="6">
        <v>0.44747272727272702</v>
      </c>
      <c r="P111" s="6">
        <v>0.53000666666666696</v>
      </c>
      <c r="Q111" s="6">
        <f t="shared" si="19"/>
        <v>8.2533939393939937E-2</v>
      </c>
    </row>
    <row r="112" spans="1:17">
      <c r="A112" s="7">
        <v>104</v>
      </c>
      <c r="B112" s="7" t="s">
        <v>112</v>
      </c>
      <c r="C112" s="7" t="s">
        <v>37</v>
      </c>
      <c r="D112" s="8" t="s">
        <v>162</v>
      </c>
      <c r="E112" s="9">
        <v>317.5</v>
      </c>
      <c r="F112" s="9">
        <v>360.8</v>
      </c>
      <c r="G112" s="9">
        <f t="shared" si="15"/>
        <v>43.300000000000011</v>
      </c>
      <c r="H112" s="10">
        <f t="shared" si="16"/>
        <v>0.13637795275590556</v>
      </c>
      <c r="I112" s="10">
        <v>0.80766010101010099</v>
      </c>
      <c r="J112" s="10">
        <v>0.92370222222222198</v>
      </c>
      <c r="K112" s="10">
        <f t="shared" si="17"/>
        <v>0.11604212121212099</v>
      </c>
      <c r="L112" s="10">
        <v>0.90833484848484902</v>
      </c>
      <c r="M112" s="10">
        <v>0.96888666666666701</v>
      </c>
      <c r="N112" s="10">
        <f t="shared" si="18"/>
        <v>6.0551818181817985E-2</v>
      </c>
      <c r="O112" s="10">
        <v>0.78383787878787903</v>
      </c>
      <c r="P112" s="10">
        <v>0.93555333333333301</v>
      </c>
      <c r="Q112" s="10">
        <f t="shared" si="19"/>
        <v>0.15171545454545399</v>
      </c>
    </row>
    <row r="113" spans="1:17">
      <c r="A113" s="3">
        <v>105</v>
      </c>
      <c r="B113" s="3" t="s">
        <v>112</v>
      </c>
      <c r="C113" s="3" t="s">
        <v>39</v>
      </c>
      <c r="D113" s="4" t="s">
        <v>163</v>
      </c>
      <c r="E113" s="5">
        <v>164.9</v>
      </c>
      <c r="F113" s="5">
        <v>207.8</v>
      </c>
      <c r="G113" s="5">
        <f t="shared" si="15"/>
        <v>42.900000000000006</v>
      </c>
      <c r="H113" s="6">
        <f t="shared" si="16"/>
        <v>0.26015767131594908</v>
      </c>
      <c r="I113" s="6">
        <v>0.88956313131313103</v>
      </c>
      <c r="J113" s="6">
        <v>0.88018666666666701</v>
      </c>
      <c r="K113" s="6">
        <f t="shared" si="17"/>
        <v>-9.3764646464640222E-3</v>
      </c>
      <c r="L113" s="6">
        <v>0.80984999999999996</v>
      </c>
      <c r="M113" s="6">
        <v>0.86</v>
      </c>
      <c r="N113" s="6">
        <f t="shared" si="18"/>
        <v>5.0150000000000028E-2</v>
      </c>
      <c r="O113" s="6">
        <v>1</v>
      </c>
      <c r="P113" s="6">
        <v>0.97888666666666702</v>
      </c>
      <c r="Q113" s="6">
        <f t="shared" si="19"/>
        <v>-2.1113333333332984E-2</v>
      </c>
    </row>
    <row r="114" spans="1:17">
      <c r="A114" s="7">
        <v>106</v>
      </c>
      <c r="B114" s="7" t="s">
        <v>112</v>
      </c>
      <c r="C114" s="7" t="s">
        <v>33</v>
      </c>
      <c r="D114" s="8" t="s">
        <v>164</v>
      </c>
      <c r="E114" s="9">
        <v>145.30000000000001</v>
      </c>
      <c r="F114" s="9">
        <v>187.8</v>
      </c>
      <c r="G114" s="9">
        <f t="shared" si="15"/>
        <v>42.5</v>
      </c>
      <c r="H114" s="10">
        <f t="shared" si="16"/>
        <v>0.29249827942188572</v>
      </c>
      <c r="I114" s="10">
        <v>0.84360252525252499</v>
      </c>
      <c r="J114" s="10">
        <v>0.79352111111111101</v>
      </c>
      <c r="K114" s="10">
        <f t="shared" si="17"/>
        <v>-5.0081414141413982E-2</v>
      </c>
      <c r="L114" s="10">
        <v>0.50025303030303003</v>
      </c>
      <c r="M114" s="10">
        <v>0.29445333333333301</v>
      </c>
      <c r="N114" s="10">
        <f t="shared" si="18"/>
        <v>-0.20579969696969702</v>
      </c>
      <c r="O114" s="10">
        <v>1</v>
      </c>
      <c r="P114" s="10">
        <v>0.99555333333333296</v>
      </c>
      <c r="Q114" s="10">
        <f t="shared" si="19"/>
        <v>-4.4466666666670429E-3</v>
      </c>
    </row>
    <row r="115" spans="1:17">
      <c r="A115" s="3">
        <v>107</v>
      </c>
      <c r="B115" s="3" t="s">
        <v>112</v>
      </c>
      <c r="C115" s="3" t="s">
        <v>39</v>
      </c>
      <c r="D115" s="4" t="s">
        <v>165</v>
      </c>
      <c r="E115" s="5">
        <v>332</v>
      </c>
      <c r="F115" s="5">
        <v>373.4</v>
      </c>
      <c r="G115" s="5">
        <f t="shared" si="15"/>
        <v>41.399999999999977</v>
      </c>
      <c r="H115" s="6">
        <f t="shared" si="16"/>
        <v>0.12469879518072283</v>
      </c>
      <c r="I115" s="6">
        <v>0.75841868686868696</v>
      </c>
      <c r="J115" s="6">
        <v>0.76777444444444398</v>
      </c>
      <c r="K115" s="6">
        <f t="shared" si="17"/>
        <v>9.3557575757570177E-3</v>
      </c>
      <c r="L115" s="6">
        <v>0.97828333333333295</v>
      </c>
      <c r="M115" s="6">
        <v>0.97443333333333304</v>
      </c>
      <c r="N115" s="6">
        <f t="shared" si="18"/>
        <v>-3.8499999999999091E-3</v>
      </c>
      <c r="O115" s="6">
        <v>0.53561060606060595</v>
      </c>
      <c r="P115" s="6">
        <v>0.580006666666667</v>
      </c>
      <c r="Q115" s="6">
        <f t="shared" si="19"/>
        <v>4.439606060606105E-2</v>
      </c>
    </row>
    <row r="116" spans="1:17">
      <c r="A116" s="7">
        <v>108</v>
      </c>
      <c r="B116" s="7" t="s">
        <v>112</v>
      </c>
      <c r="C116" s="7" t="s">
        <v>38</v>
      </c>
      <c r="D116" s="8" t="s">
        <v>166</v>
      </c>
      <c r="E116" s="9">
        <v>141.6</v>
      </c>
      <c r="F116" s="9">
        <v>182.8</v>
      </c>
      <c r="G116" s="9">
        <f t="shared" si="15"/>
        <v>41.200000000000017</v>
      </c>
      <c r="H116" s="10">
        <f t="shared" si="16"/>
        <v>0.29096045197740128</v>
      </c>
      <c r="I116" s="10">
        <v>0.87853611111111096</v>
      </c>
      <c r="J116" s="10">
        <v>0.81370555555555601</v>
      </c>
      <c r="K116" s="10">
        <f t="shared" si="17"/>
        <v>-6.4830555555554947E-2</v>
      </c>
      <c r="L116" s="10">
        <v>0.99873787878787901</v>
      </c>
      <c r="M116" s="10">
        <v>0.99778</v>
      </c>
      <c r="N116" s="10">
        <f t="shared" si="18"/>
        <v>-9.5787878787900738E-4</v>
      </c>
      <c r="O116" s="10">
        <v>0.79166818181818199</v>
      </c>
      <c r="P116" s="10">
        <v>0.71777333333333304</v>
      </c>
      <c r="Q116" s="10">
        <f t="shared" si="19"/>
        <v>-7.3894848484848952E-2</v>
      </c>
    </row>
    <row r="117" spans="1:17">
      <c r="A117" s="3">
        <v>109</v>
      </c>
      <c r="B117" s="3" t="s">
        <v>112</v>
      </c>
      <c r="C117" s="3" t="s">
        <v>35</v>
      </c>
      <c r="D117" s="4" t="s">
        <v>167</v>
      </c>
      <c r="E117" s="5">
        <v>521.5</v>
      </c>
      <c r="F117" s="5">
        <v>562.4</v>
      </c>
      <c r="G117" s="5">
        <f t="shared" si="15"/>
        <v>40.899999999999977</v>
      </c>
      <c r="H117" s="6">
        <f t="shared" si="16"/>
        <v>7.8427612655800533E-2</v>
      </c>
      <c r="I117" s="6">
        <v>0.84894848484848495</v>
      </c>
      <c r="J117" s="6">
        <v>0.85907333333333302</v>
      </c>
      <c r="K117" s="6">
        <f t="shared" si="17"/>
        <v>1.012484848484807E-2</v>
      </c>
      <c r="L117" s="6">
        <v>1</v>
      </c>
      <c r="M117" s="6">
        <v>1</v>
      </c>
      <c r="N117" s="6">
        <f t="shared" si="18"/>
        <v>0</v>
      </c>
      <c r="O117" s="6">
        <v>0.77197272727272703</v>
      </c>
      <c r="P117" s="6">
        <v>0.84999333333333305</v>
      </c>
      <c r="Q117" s="6">
        <f t="shared" si="19"/>
        <v>7.8020606060606013E-2</v>
      </c>
    </row>
    <row r="118" spans="1:17">
      <c r="A118" s="7">
        <v>110</v>
      </c>
      <c r="B118" s="7" t="s">
        <v>112</v>
      </c>
      <c r="C118" s="7" t="s">
        <v>37</v>
      </c>
      <c r="D118" s="8" t="s">
        <v>168</v>
      </c>
      <c r="E118" s="9">
        <v>118.2</v>
      </c>
      <c r="F118" s="9">
        <v>158.19999999999999</v>
      </c>
      <c r="G118" s="9">
        <f t="shared" si="15"/>
        <v>39.999999999999986</v>
      </c>
      <c r="H118" s="10">
        <f t="shared" si="16"/>
        <v>0.33840947546531291</v>
      </c>
      <c r="I118" s="10">
        <v>0.80997424242424299</v>
      </c>
      <c r="J118" s="10">
        <v>0.81814777777777803</v>
      </c>
      <c r="K118" s="10">
        <f t="shared" si="17"/>
        <v>8.1735353535350441E-3</v>
      </c>
      <c r="L118" s="10">
        <v>0.91489545454545496</v>
      </c>
      <c r="M118" s="10">
        <v>0.94333333333333302</v>
      </c>
      <c r="N118" s="10">
        <f t="shared" si="18"/>
        <v>2.8437878787878068E-2</v>
      </c>
      <c r="O118" s="10">
        <v>0.76868484848484897</v>
      </c>
      <c r="P118" s="10">
        <v>0.82889333333333304</v>
      </c>
      <c r="Q118" s="10">
        <f t="shared" si="19"/>
        <v>6.0208484848484067E-2</v>
      </c>
    </row>
    <row r="119" spans="1:17">
      <c r="A119" s="3">
        <v>111</v>
      </c>
      <c r="B119" s="3" t="s">
        <v>112</v>
      </c>
      <c r="C119" s="3" t="s">
        <v>33</v>
      </c>
      <c r="D119" s="4" t="s">
        <v>169</v>
      </c>
      <c r="E119" s="5">
        <v>177.1</v>
      </c>
      <c r="F119" s="5">
        <v>216.6</v>
      </c>
      <c r="G119" s="5">
        <f t="shared" si="15"/>
        <v>39.5</v>
      </c>
      <c r="H119" s="6">
        <f t="shared" si="16"/>
        <v>0.2230378317334839</v>
      </c>
      <c r="I119" s="6">
        <v>0.86679343434343403</v>
      </c>
      <c r="J119" s="6">
        <v>0.85518666666666698</v>
      </c>
      <c r="K119" s="6">
        <f t="shared" si="17"/>
        <v>-1.1606767676767049E-2</v>
      </c>
      <c r="L119" s="6">
        <v>0.71287727272727297</v>
      </c>
      <c r="M119" s="6">
        <v>0.66110666666666695</v>
      </c>
      <c r="N119" s="6">
        <f t="shared" si="18"/>
        <v>-5.1770606060606017E-2</v>
      </c>
      <c r="O119" s="6">
        <v>0.91085757575757598</v>
      </c>
      <c r="P119" s="6">
        <v>0.95889333333333304</v>
      </c>
      <c r="Q119" s="6">
        <f t="shared" si="19"/>
        <v>4.8035757575757065E-2</v>
      </c>
    </row>
    <row r="120" spans="1:17">
      <c r="A120" s="7">
        <v>112</v>
      </c>
      <c r="B120" s="7" t="s">
        <v>112</v>
      </c>
      <c r="C120" s="7" t="s">
        <v>34</v>
      </c>
      <c r="D120" s="8" t="s">
        <v>170</v>
      </c>
      <c r="E120" s="9">
        <v>128.9</v>
      </c>
      <c r="F120" s="9">
        <v>168.4</v>
      </c>
      <c r="G120" s="9">
        <f t="shared" si="15"/>
        <v>39.5</v>
      </c>
      <c r="H120" s="10">
        <f t="shared" si="16"/>
        <v>0.30643910007757952</v>
      </c>
      <c r="I120" s="10">
        <v>0.89343459595959596</v>
      </c>
      <c r="J120" s="10">
        <v>0.98111111111111104</v>
      </c>
      <c r="K120" s="10">
        <f t="shared" si="17"/>
        <v>8.7676515151515089E-2</v>
      </c>
      <c r="L120" s="10">
        <v>0.82449848484848498</v>
      </c>
      <c r="M120" s="10">
        <v>1</v>
      </c>
      <c r="N120" s="10">
        <f t="shared" si="18"/>
        <v>0.17550151515151502</v>
      </c>
      <c r="O120" s="10">
        <v>0.91767727272727295</v>
      </c>
      <c r="P120" s="10">
        <v>0.96666666666666701</v>
      </c>
      <c r="Q120" s="10">
        <f t="shared" si="19"/>
        <v>4.8989393939394055E-2</v>
      </c>
    </row>
    <row r="121" spans="1:17">
      <c r="A121" s="3">
        <v>113</v>
      </c>
      <c r="B121" s="3" t="s">
        <v>112</v>
      </c>
      <c r="C121" s="3" t="s">
        <v>33</v>
      </c>
      <c r="D121" s="4" t="s">
        <v>171</v>
      </c>
      <c r="E121" s="5">
        <v>111.4</v>
      </c>
      <c r="F121" s="5">
        <v>150</v>
      </c>
      <c r="G121" s="5">
        <f t="shared" si="15"/>
        <v>38.599999999999994</v>
      </c>
      <c r="H121" s="6">
        <f t="shared" si="16"/>
        <v>0.34649910233393172</v>
      </c>
      <c r="I121" s="6">
        <v>0.89204545454545503</v>
      </c>
      <c r="J121" s="6">
        <v>0.81777555555555603</v>
      </c>
      <c r="K121" s="6">
        <f t="shared" si="17"/>
        <v>-7.4269898989898997E-2</v>
      </c>
      <c r="L121" s="6">
        <v>0.66136212121212101</v>
      </c>
      <c r="M121" s="6">
        <v>0.50332666666666703</v>
      </c>
      <c r="N121" s="6">
        <f t="shared" si="18"/>
        <v>-0.15803545454545398</v>
      </c>
      <c r="O121" s="6">
        <v>0.95681969696969704</v>
      </c>
      <c r="P121" s="6">
        <v>0.91110000000000002</v>
      </c>
      <c r="Q121" s="6">
        <f t="shared" si="19"/>
        <v>-4.5719696969697021E-2</v>
      </c>
    </row>
    <row r="122" spans="1:17">
      <c r="A122" s="7">
        <v>114</v>
      </c>
      <c r="B122" s="7" t="s">
        <v>112</v>
      </c>
      <c r="C122" s="7" t="s">
        <v>33</v>
      </c>
      <c r="D122" s="8" t="s">
        <v>172</v>
      </c>
      <c r="E122" s="9">
        <v>142.9</v>
      </c>
      <c r="F122" s="9">
        <v>180.8</v>
      </c>
      <c r="G122" s="9">
        <f t="shared" si="15"/>
        <v>37.900000000000006</v>
      </c>
      <c r="H122" s="10">
        <f t="shared" si="16"/>
        <v>0.26522043386983907</v>
      </c>
      <c r="I122" s="10">
        <v>0.84238282828282796</v>
      </c>
      <c r="J122" s="10">
        <v>0.82314666666666703</v>
      </c>
      <c r="K122" s="10">
        <f t="shared" si="17"/>
        <v>-1.9236161616160929E-2</v>
      </c>
      <c r="L122" s="10">
        <v>0.53080454545454503</v>
      </c>
      <c r="M122" s="10">
        <v>0.56777999999999995</v>
      </c>
      <c r="N122" s="10">
        <f t="shared" si="18"/>
        <v>3.6975454545454922E-2</v>
      </c>
      <c r="O122" s="10">
        <v>1</v>
      </c>
      <c r="P122" s="10">
        <v>0.99444666666666703</v>
      </c>
      <c r="Q122" s="10">
        <f t="shared" si="19"/>
        <v>-5.553333333332966E-3</v>
      </c>
    </row>
    <row r="123" spans="1:17">
      <c r="A123" s="3">
        <v>115</v>
      </c>
      <c r="B123" s="3" t="s">
        <v>112</v>
      </c>
      <c r="C123" s="3" t="s">
        <v>33</v>
      </c>
      <c r="D123" s="4" t="s">
        <v>173</v>
      </c>
      <c r="E123" s="5">
        <v>209.6</v>
      </c>
      <c r="F123" s="5">
        <v>247.4</v>
      </c>
      <c r="G123" s="5">
        <f t="shared" si="15"/>
        <v>37.800000000000011</v>
      </c>
      <c r="H123" s="6">
        <f t="shared" si="16"/>
        <v>0.18034351145038174</v>
      </c>
      <c r="I123" s="6">
        <v>0.89229873737373699</v>
      </c>
      <c r="J123" s="6">
        <v>0.94499777777777805</v>
      </c>
      <c r="K123" s="6">
        <f t="shared" si="17"/>
        <v>5.2699040404041053E-2</v>
      </c>
      <c r="L123" s="6">
        <v>0.63232727272727296</v>
      </c>
      <c r="M123" s="6">
        <v>0.86777333333333295</v>
      </c>
      <c r="N123" s="6">
        <f t="shared" si="18"/>
        <v>0.23544606060605999</v>
      </c>
      <c r="O123" s="6">
        <v>0.99772727272727302</v>
      </c>
      <c r="P123" s="6">
        <v>1</v>
      </c>
      <c r="Q123" s="6">
        <f t="shared" si="19"/>
        <v>2.2727272727269821E-3</v>
      </c>
    </row>
    <row r="124" spans="1:17">
      <c r="A124" s="7">
        <v>116</v>
      </c>
      <c r="B124" s="7" t="s">
        <v>112</v>
      </c>
      <c r="C124" s="7" t="s">
        <v>33</v>
      </c>
      <c r="D124" s="8" t="s">
        <v>174</v>
      </c>
      <c r="E124" s="9">
        <v>204</v>
      </c>
      <c r="F124" s="9">
        <v>241.8</v>
      </c>
      <c r="G124" s="9">
        <f t="shared" si="15"/>
        <v>37.800000000000011</v>
      </c>
      <c r="H124" s="10">
        <f t="shared" si="16"/>
        <v>0.18529411764705889</v>
      </c>
      <c r="I124" s="10">
        <v>0.85542853535353602</v>
      </c>
      <c r="J124" s="10">
        <v>0.88000222222222202</v>
      </c>
      <c r="K124" s="10">
        <f t="shared" si="17"/>
        <v>2.4573686868685995E-2</v>
      </c>
      <c r="L124" s="10">
        <v>0.99090909090909096</v>
      </c>
      <c r="M124" s="10">
        <v>0.94443999999999995</v>
      </c>
      <c r="N124" s="10">
        <f t="shared" si="18"/>
        <v>-4.6469090909091015E-2</v>
      </c>
      <c r="O124" s="10">
        <v>0.76894090909090895</v>
      </c>
      <c r="P124" s="10">
        <v>0.90888666666666695</v>
      </c>
      <c r="Q124" s="10">
        <f t="shared" si="19"/>
        <v>0.139945757575758</v>
      </c>
    </row>
    <row r="125" spans="1:17">
      <c r="A125" s="3">
        <v>117</v>
      </c>
      <c r="B125" s="3" t="s">
        <v>112</v>
      </c>
      <c r="C125" s="3" t="s">
        <v>33</v>
      </c>
      <c r="D125" s="4" t="s">
        <v>175</v>
      </c>
      <c r="E125" s="5">
        <v>350</v>
      </c>
      <c r="F125" s="5">
        <v>387.8</v>
      </c>
      <c r="G125" s="5">
        <f t="shared" si="15"/>
        <v>37.800000000000011</v>
      </c>
      <c r="H125" s="6">
        <f t="shared" si="16"/>
        <v>0.10800000000000003</v>
      </c>
      <c r="I125" s="6">
        <v>0.82377904040404004</v>
      </c>
      <c r="J125" s="6">
        <v>0.82555222222222202</v>
      </c>
      <c r="K125" s="6">
        <f t="shared" si="17"/>
        <v>1.7731818181819792E-3</v>
      </c>
      <c r="L125" s="6">
        <v>1</v>
      </c>
      <c r="M125" s="6">
        <v>1</v>
      </c>
      <c r="N125" s="6">
        <f t="shared" si="18"/>
        <v>0</v>
      </c>
      <c r="O125" s="6">
        <v>0.72348484848484895</v>
      </c>
      <c r="P125" s="6">
        <v>0.77443333333333297</v>
      </c>
      <c r="Q125" s="6">
        <f t="shared" si="19"/>
        <v>5.0948484848484021E-2</v>
      </c>
    </row>
    <row r="126" spans="1:17">
      <c r="A126" s="7">
        <v>118</v>
      </c>
      <c r="B126" s="7" t="s">
        <v>112</v>
      </c>
      <c r="C126" s="7" t="s">
        <v>39</v>
      </c>
      <c r="D126" s="8" t="s">
        <v>176</v>
      </c>
      <c r="E126" s="9">
        <v>179</v>
      </c>
      <c r="F126" s="9">
        <v>216.8</v>
      </c>
      <c r="G126" s="9">
        <f t="shared" si="15"/>
        <v>37.800000000000011</v>
      </c>
      <c r="H126" s="10">
        <f t="shared" si="16"/>
        <v>0.21117318435754195</v>
      </c>
      <c r="I126" s="10">
        <v>0.79410707070707098</v>
      </c>
      <c r="J126" s="10">
        <v>0.78852</v>
      </c>
      <c r="K126" s="10">
        <f t="shared" si="17"/>
        <v>-5.5870707070709846E-3</v>
      </c>
      <c r="L126" s="10">
        <v>0.78535151515151502</v>
      </c>
      <c r="M126" s="10">
        <v>0.92666000000000004</v>
      </c>
      <c r="N126" s="10">
        <f t="shared" si="18"/>
        <v>0.14130848484848502</v>
      </c>
      <c r="O126" s="10">
        <v>0.75227121212121195</v>
      </c>
      <c r="P126" s="10">
        <v>0.72111999999999998</v>
      </c>
      <c r="Q126" s="10">
        <f t="shared" si="19"/>
        <v>-3.1151212121211969E-2</v>
      </c>
    </row>
    <row r="127" spans="1:17">
      <c r="A127" s="3">
        <v>119</v>
      </c>
      <c r="B127" s="3" t="s">
        <v>112</v>
      </c>
      <c r="C127" s="3" t="s">
        <v>33</v>
      </c>
      <c r="D127" s="4" t="s">
        <v>177</v>
      </c>
      <c r="E127" s="5">
        <v>169.9</v>
      </c>
      <c r="F127" s="5">
        <v>207.4</v>
      </c>
      <c r="G127" s="5">
        <f t="shared" si="15"/>
        <v>37.5</v>
      </c>
      <c r="H127" s="6">
        <f t="shared" si="16"/>
        <v>0.22071806945261918</v>
      </c>
      <c r="I127" s="6">
        <v>0.77777752525252497</v>
      </c>
      <c r="J127" s="6">
        <v>0.76814777777777798</v>
      </c>
      <c r="K127" s="6">
        <f t="shared" si="17"/>
        <v>-9.6297474747469858E-3</v>
      </c>
      <c r="L127" s="6">
        <v>1</v>
      </c>
      <c r="M127" s="6">
        <v>0.99888666666666703</v>
      </c>
      <c r="N127" s="6">
        <f t="shared" si="18"/>
        <v>-1.1133333333329665E-3</v>
      </c>
      <c r="O127" s="6">
        <v>0.54292727272727304</v>
      </c>
      <c r="P127" s="6">
        <v>0.67332666666666696</v>
      </c>
      <c r="Q127" s="6">
        <f t="shared" si="19"/>
        <v>0.13039939393939393</v>
      </c>
    </row>
    <row r="128" spans="1:17">
      <c r="A128" s="7">
        <v>120</v>
      </c>
      <c r="B128" s="7" t="s">
        <v>112</v>
      </c>
      <c r="C128" s="7" t="s">
        <v>34</v>
      </c>
      <c r="D128" s="8" t="s">
        <v>178</v>
      </c>
      <c r="E128" s="9">
        <v>120.2</v>
      </c>
      <c r="F128" s="9">
        <v>156.80000000000001</v>
      </c>
      <c r="G128" s="9">
        <f t="shared" si="15"/>
        <v>36.600000000000009</v>
      </c>
      <c r="H128" s="10">
        <f t="shared" si="16"/>
        <v>0.30449251247920139</v>
      </c>
      <c r="I128" s="10">
        <v>0.87575707070707098</v>
      </c>
      <c r="J128" s="10">
        <v>0.91481444444444404</v>
      </c>
      <c r="K128" s="10">
        <f t="shared" si="17"/>
        <v>3.9057373737373058E-2</v>
      </c>
      <c r="L128" s="10">
        <v>0.78560606060606097</v>
      </c>
      <c r="M128" s="10">
        <v>0.88221333333333296</v>
      </c>
      <c r="N128" s="10">
        <f t="shared" si="18"/>
        <v>9.6607272727271987E-2</v>
      </c>
      <c r="O128" s="10">
        <v>1</v>
      </c>
      <c r="P128" s="10">
        <v>0.952226666666667</v>
      </c>
      <c r="Q128" s="10">
        <f t="shared" si="19"/>
        <v>-4.7773333333333001E-2</v>
      </c>
    </row>
    <row r="129" spans="1:17">
      <c r="A129" s="3">
        <v>121</v>
      </c>
      <c r="B129" s="3" t="s">
        <v>112</v>
      </c>
      <c r="C129" s="3" t="s">
        <v>34</v>
      </c>
      <c r="D129" s="4" t="s">
        <v>179</v>
      </c>
      <c r="E129" s="5">
        <v>198</v>
      </c>
      <c r="F129" s="5">
        <v>234.4</v>
      </c>
      <c r="G129" s="5">
        <f t="shared" si="15"/>
        <v>36.400000000000006</v>
      </c>
      <c r="H129" s="6">
        <f t="shared" si="16"/>
        <v>0.18383838383838386</v>
      </c>
      <c r="I129" s="6">
        <v>0.81953080808080803</v>
      </c>
      <c r="J129" s="6">
        <v>0.93185222222222197</v>
      </c>
      <c r="K129" s="6">
        <f t="shared" si="17"/>
        <v>0.11232141414141394</v>
      </c>
      <c r="L129" s="6">
        <v>0.90303181818181799</v>
      </c>
      <c r="M129" s="6">
        <v>0.99444666666666703</v>
      </c>
      <c r="N129" s="6">
        <f t="shared" si="18"/>
        <v>9.1414848484849043E-2</v>
      </c>
      <c r="O129" s="6">
        <v>0.80000606060606105</v>
      </c>
      <c r="P129" s="6">
        <v>0.98777999999999999</v>
      </c>
      <c r="Q129" s="6">
        <f t="shared" si="19"/>
        <v>0.18777393939393894</v>
      </c>
    </row>
    <row r="130" spans="1:17">
      <c r="A130" s="7">
        <v>122</v>
      </c>
      <c r="B130" s="7" t="s">
        <v>112</v>
      </c>
      <c r="C130" s="7" t="s">
        <v>35</v>
      </c>
      <c r="D130" s="8" t="s">
        <v>180</v>
      </c>
      <c r="E130" s="9">
        <v>119.2</v>
      </c>
      <c r="F130" s="9">
        <v>155</v>
      </c>
      <c r="G130" s="9">
        <f t="shared" si="15"/>
        <v>35.799999999999997</v>
      </c>
      <c r="H130" s="10">
        <f t="shared" si="16"/>
        <v>0.30033557046979864</v>
      </c>
      <c r="I130" s="10">
        <v>0.87849444444444502</v>
      </c>
      <c r="J130" s="10">
        <v>0.82277666666666704</v>
      </c>
      <c r="K130" s="10">
        <f t="shared" si="17"/>
        <v>-5.5717777777777977E-2</v>
      </c>
      <c r="L130" s="10">
        <v>0.64243030303030302</v>
      </c>
      <c r="M130" s="10">
        <v>0.49223333333333302</v>
      </c>
      <c r="N130" s="10">
        <f t="shared" si="18"/>
        <v>-0.15019696969697</v>
      </c>
      <c r="O130" s="10">
        <v>0.96490151515151501</v>
      </c>
      <c r="P130" s="10">
        <v>0.99111333333333296</v>
      </c>
      <c r="Q130" s="10">
        <f t="shared" si="19"/>
        <v>2.6211818181817947E-2</v>
      </c>
    </row>
    <row r="131" spans="1:17">
      <c r="A131" s="3">
        <v>123</v>
      </c>
      <c r="B131" s="3" t="s">
        <v>112</v>
      </c>
      <c r="C131" s="3" t="s">
        <v>33</v>
      </c>
      <c r="D131" s="4" t="s">
        <v>181</v>
      </c>
      <c r="E131" s="5">
        <v>147.1</v>
      </c>
      <c r="F131" s="5">
        <v>182.4</v>
      </c>
      <c r="G131" s="5">
        <f t="shared" si="15"/>
        <v>35.300000000000011</v>
      </c>
      <c r="H131" s="6">
        <f t="shared" si="16"/>
        <v>0.23997280761386822</v>
      </c>
      <c r="I131" s="6">
        <v>0.89196161616161596</v>
      </c>
      <c r="J131" s="6">
        <v>0.85481333333333298</v>
      </c>
      <c r="K131" s="6">
        <f t="shared" si="17"/>
        <v>-3.7148282828282975E-2</v>
      </c>
      <c r="L131" s="6">
        <v>0.61414242424242405</v>
      </c>
      <c r="M131" s="6">
        <v>0.56666000000000005</v>
      </c>
      <c r="N131" s="6">
        <f t="shared" si="18"/>
        <v>-4.7482424242423993E-2</v>
      </c>
      <c r="O131" s="6">
        <v>1</v>
      </c>
      <c r="P131" s="6">
        <v>0.96665999999999996</v>
      </c>
      <c r="Q131" s="6">
        <f t="shared" si="19"/>
        <v>-3.3340000000000036E-2</v>
      </c>
    </row>
    <row r="132" spans="1:17">
      <c r="A132" s="7">
        <v>124</v>
      </c>
      <c r="B132" s="7" t="s">
        <v>112</v>
      </c>
      <c r="C132" s="7" t="s">
        <v>33</v>
      </c>
      <c r="D132" s="8" t="s">
        <v>182</v>
      </c>
      <c r="E132" s="9">
        <v>119.1</v>
      </c>
      <c r="F132" s="9">
        <v>154.4</v>
      </c>
      <c r="G132" s="9">
        <f t="shared" si="15"/>
        <v>35.300000000000011</v>
      </c>
      <c r="H132" s="10">
        <f t="shared" si="16"/>
        <v>0.29638958858102443</v>
      </c>
      <c r="I132" s="10">
        <v>0.79124722222222199</v>
      </c>
      <c r="J132" s="10">
        <v>0.82759111111111106</v>
      </c>
      <c r="K132" s="10">
        <f t="shared" si="17"/>
        <v>3.6343888888889064E-2</v>
      </c>
      <c r="L132" s="10">
        <v>0.62247727272727305</v>
      </c>
      <c r="M132" s="10">
        <v>0.66888666666666696</v>
      </c>
      <c r="N132" s="10">
        <f t="shared" si="18"/>
        <v>4.6409393939393917E-2</v>
      </c>
      <c r="O132" s="10">
        <v>0.901769696969697</v>
      </c>
      <c r="P132" s="10">
        <v>0.97888666666666702</v>
      </c>
      <c r="Q132" s="10">
        <f t="shared" si="19"/>
        <v>7.7116969696970017E-2</v>
      </c>
    </row>
    <row r="133" spans="1:17">
      <c r="A133" s="3">
        <v>125</v>
      </c>
      <c r="B133" s="3" t="s">
        <v>112</v>
      </c>
      <c r="C133" s="3" t="s">
        <v>43</v>
      </c>
      <c r="D133" s="4" t="s">
        <v>183</v>
      </c>
      <c r="E133" s="5">
        <v>182.7</v>
      </c>
      <c r="F133" s="5">
        <v>217.6</v>
      </c>
      <c r="G133" s="5">
        <f t="shared" si="15"/>
        <v>34.900000000000006</v>
      </c>
      <c r="H133" s="6">
        <f t="shared" si="16"/>
        <v>0.19102353585112211</v>
      </c>
      <c r="I133" s="6">
        <v>0.88564747474747496</v>
      </c>
      <c r="J133" s="6">
        <v>0.94277777777777805</v>
      </c>
      <c r="K133" s="6">
        <f t="shared" si="17"/>
        <v>5.7130303030303087E-2</v>
      </c>
      <c r="L133" s="6">
        <v>0.87020303030303003</v>
      </c>
      <c r="M133" s="6">
        <v>1</v>
      </c>
      <c r="N133" s="6">
        <f t="shared" si="18"/>
        <v>0.12979696969696997</v>
      </c>
      <c r="O133" s="6">
        <v>0.92651515151515196</v>
      </c>
      <c r="P133" s="6">
        <v>0.98333999999999999</v>
      </c>
      <c r="Q133" s="6">
        <f t="shared" si="19"/>
        <v>5.6824848484848034E-2</v>
      </c>
    </row>
    <row r="134" spans="1:17">
      <c r="A134" s="7">
        <v>126</v>
      </c>
      <c r="B134" s="7" t="s">
        <v>112</v>
      </c>
      <c r="C134" s="7" t="s">
        <v>39</v>
      </c>
      <c r="D134" s="8" t="s">
        <v>184</v>
      </c>
      <c r="E134" s="9">
        <v>117.5</v>
      </c>
      <c r="F134" s="9">
        <v>150.80000000000001</v>
      </c>
      <c r="G134" s="9">
        <f t="shared" si="15"/>
        <v>33.300000000000011</v>
      </c>
      <c r="H134" s="10">
        <f t="shared" si="16"/>
        <v>0.28340425531914903</v>
      </c>
      <c r="I134" s="10">
        <v>0.81081616161616199</v>
      </c>
      <c r="J134" s="10">
        <v>0.86462444444444497</v>
      </c>
      <c r="K134" s="10">
        <f t="shared" si="17"/>
        <v>5.3808282828282983E-2</v>
      </c>
      <c r="L134" s="10">
        <v>0.98838484848484798</v>
      </c>
      <c r="M134" s="10">
        <v>0.86332666666666702</v>
      </c>
      <c r="N134" s="10">
        <f t="shared" si="18"/>
        <v>-0.12505818181818096</v>
      </c>
      <c r="O134" s="10">
        <v>0.72272121212121199</v>
      </c>
      <c r="P134" s="10">
        <v>0.86443999999999999</v>
      </c>
      <c r="Q134" s="10">
        <f t="shared" si="19"/>
        <v>0.141718787878788</v>
      </c>
    </row>
    <row r="135" spans="1:17">
      <c r="A135" s="3">
        <v>127</v>
      </c>
      <c r="B135" s="3" t="s">
        <v>112</v>
      </c>
      <c r="C135" s="3" t="s">
        <v>33</v>
      </c>
      <c r="D135" s="4" t="s">
        <v>185</v>
      </c>
      <c r="E135" s="5">
        <v>177.9</v>
      </c>
      <c r="F135" s="5">
        <v>211.2</v>
      </c>
      <c r="G135" s="5">
        <f t="shared" si="15"/>
        <v>33.299999999999983</v>
      </c>
      <c r="H135" s="6">
        <f t="shared" si="16"/>
        <v>0.18718381112984814</v>
      </c>
      <c r="I135" s="6">
        <v>0.87289469696969701</v>
      </c>
      <c r="J135" s="6">
        <v>0.86277444444444396</v>
      </c>
      <c r="K135" s="6">
        <f t="shared" si="17"/>
        <v>-1.012025252525306E-2</v>
      </c>
      <c r="L135" s="6">
        <v>0.98106060606060597</v>
      </c>
      <c r="M135" s="6">
        <v>0.86333333333333295</v>
      </c>
      <c r="N135" s="6">
        <f t="shared" si="18"/>
        <v>-0.11772727272727301</v>
      </c>
      <c r="O135" s="6">
        <v>0.96641363636363598</v>
      </c>
      <c r="P135" s="6">
        <v>0.95332666666666699</v>
      </c>
      <c r="Q135" s="6">
        <f t="shared" si="19"/>
        <v>-1.3086969696968986E-2</v>
      </c>
    </row>
    <row r="136" spans="1:17">
      <c r="A136" s="7">
        <v>128</v>
      </c>
      <c r="B136" s="7" t="s">
        <v>112</v>
      </c>
      <c r="C136" s="7" t="s">
        <v>37</v>
      </c>
      <c r="D136" s="8" t="s">
        <v>186</v>
      </c>
      <c r="E136" s="9">
        <v>173</v>
      </c>
      <c r="F136" s="9">
        <v>205</v>
      </c>
      <c r="G136" s="9">
        <f t="shared" si="15"/>
        <v>32</v>
      </c>
      <c r="H136" s="10">
        <f t="shared" si="16"/>
        <v>0.18497109826589594</v>
      </c>
      <c r="I136" s="10">
        <v>0.86843358585858599</v>
      </c>
      <c r="J136" s="10">
        <v>0.85240555555555597</v>
      </c>
      <c r="K136" s="10">
        <f t="shared" si="17"/>
        <v>-1.6028030303030016E-2</v>
      </c>
      <c r="L136" s="10">
        <v>0.996463636363636</v>
      </c>
      <c r="M136" s="10">
        <v>0.98555333333333295</v>
      </c>
      <c r="N136" s="10">
        <f t="shared" si="18"/>
        <v>-1.0910303030303048E-2</v>
      </c>
      <c r="O136" s="10">
        <v>0.78181363636363599</v>
      </c>
      <c r="P136" s="10">
        <v>0.82</v>
      </c>
      <c r="Q136" s="10">
        <f t="shared" si="19"/>
        <v>3.8186363636363962E-2</v>
      </c>
    </row>
    <row r="137" spans="1:17">
      <c r="A137" s="3">
        <v>129</v>
      </c>
      <c r="B137" s="3" t="s">
        <v>112</v>
      </c>
      <c r="C137" s="3" t="s">
        <v>33</v>
      </c>
      <c r="D137" s="4" t="s">
        <v>187</v>
      </c>
      <c r="E137" s="5">
        <v>210.3</v>
      </c>
      <c r="F137" s="5">
        <v>242</v>
      </c>
      <c r="G137" s="5">
        <f t="shared" ref="G137:G168" si="20">IF(OR(E137="",F137=""),"",F137-E137)</f>
        <v>31.699999999999989</v>
      </c>
      <c r="H137" s="6">
        <f t="shared" ref="H137:H168" si="21">IF(OR(E137="",F137="",E137=0),"",(F137-E137)/E137)</f>
        <v>0.15073704232049448</v>
      </c>
      <c r="I137" s="6">
        <v>0.82491641414141403</v>
      </c>
      <c r="J137" s="6">
        <v>0.91981666666666695</v>
      </c>
      <c r="K137" s="6">
        <f t="shared" ref="K137:K168" si="22">IF(OR(I137="",J137=""),"",J137-I137)</f>
        <v>9.4900252525252915E-2</v>
      </c>
      <c r="L137" s="6">
        <v>0.98889090909090904</v>
      </c>
      <c r="M137" s="6">
        <v>0.95667333333333304</v>
      </c>
      <c r="N137" s="6">
        <f t="shared" ref="N137:N168" si="23">IF(OR(L137="",M137=""),"",M137-L137)</f>
        <v>-3.2217575757576E-2</v>
      </c>
      <c r="O137" s="6">
        <v>0.63788181818181799</v>
      </c>
      <c r="P137" s="6">
        <v>0.84889333333333294</v>
      </c>
      <c r="Q137" s="6">
        <f t="shared" ref="Q137:Q168" si="24">IF(OR(O137="",P137=""),"",P137-O137)</f>
        <v>0.21101151515151495</v>
      </c>
    </row>
    <row r="138" spans="1:17">
      <c r="A138" s="7">
        <v>130</v>
      </c>
      <c r="B138" s="7" t="s">
        <v>112</v>
      </c>
      <c r="C138" s="7" t="s">
        <v>33</v>
      </c>
      <c r="D138" s="8" t="s">
        <v>188</v>
      </c>
      <c r="E138" s="9">
        <v>208</v>
      </c>
      <c r="F138" s="9">
        <v>238.6</v>
      </c>
      <c r="G138" s="9">
        <f t="shared" si="20"/>
        <v>30.599999999999994</v>
      </c>
      <c r="H138" s="10">
        <f t="shared" si="21"/>
        <v>0.14711538461538459</v>
      </c>
      <c r="I138" s="10">
        <v>0.87521010101010099</v>
      </c>
      <c r="J138" s="10">
        <v>0.88925777777777804</v>
      </c>
      <c r="K138" s="10">
        <f t="shared" si="22"/>
        <v>1.4047676767677042E-2</v>
      </c>
      <c r="L138" s="10">
        <v>0.75681666666666703</v>
      </c>
      <c r="M138" s="10">
        <v>0.80222000000000004</v>
      </c>
      <c r="N138" s="10">
        <f t="shared" si="23"/>
        <v>4.5403333333333018E-2</v>
      </c>
      <c r="O138" s="10">
        <v>0.99166666666666703</v>
      </c>
      <c r="P138" s="10">
        <v>1</v>
      </c>
      <c r="Q138" s="10">
        <f t="shared" si="24"/>
        <v>8.3333333333329707E-3</v>
      </c>
    </row>
    <row r="139" spans="1:17">
      <c r="A139" s="3">
        <v>131</v>
      </c>
      <c r="B139" s="3" t="s">
        <v>112</v>
      </c>
      <c r="C139" s="3" t="s">
        <v>34</v>
      </c>
      <c r="D139" s="4" t="s">
        <v>189</v>
      </c>
      <c r="E139" s="5">
        <v>212.9</v>
      </c>
      <c r="F139" s="5">
        <v>243.2</v>
      </c>
      <c r="G139" s="5">
        <f t="shared" si="20"/>
        <v>30.299999999999983</v>
      </c>
      <c r="H139" s="6">
        <f t="shared" si="21"/>
        <v>0.14232033818694215</v>
      </c>
      <c r="I139" s="6">
        <v>0.88627777777777805</v>
      </c>
      <c r="J139" s="6">
        <v>0.92055666666666702</v>
      </c>
      <c r="K139" s="6">
        <f t="shared" si="22"/>
        <v>3.427888888888897E-2</v>
      </c>
      <c r="L139" s="6">
        <v>0.85479090909090905</v>
      </c>
      <c r="M139" s="6">
        <v>0.95777333333333403</v>
      </c>
      <c r="N139" s="6">
        <f t="shared" si="23"/>
        <v>0.10298242424242499</v>
      </c>
      <c r="O139" s="6">
        <v>0.88964242424242501</v>
      </c>
      <c r="P139" s="6">
        <v>0.85999333333333305</v>
      </c>
      <c r="Q139" s="6">
        <f t="shared" si="24"/>
        <v>-2.9649090909091957E-2</v>
      </c>
    </row>
    <row r="140" spans="1:17">
      <c r="A140" s="7">
        <v>132</v>
      </c>
      <c r="B140" s="7" t="s">
        <v>112</v>
      </c>
      <c r="C140" s="7" t="s">
        <v>33</v>
      </c>
      <c r="D140" s="8" t="s">
        <v>190</v>
      </c>
      <c r="E140" s="9">
        <v>150.4</v>
      </c>
      <c r="F140" s="9">
        <v>180</v>
      </c>
      <c r="G140" s="9">
        <f t="shared" si="20"/>
        <v>29.599999999999994</v>
      </c>
      <c r="H140" s="10">
        <f t="shared" si="21"/>
        <v>0.19680851063829782</v>
      </c>
      <c r="I140" s="10">
        <v>0.88855176767676802</v>
      </c>
      <c r="J140" s="10">
        <v>0.93555555555555603</v>
      </c>
      <c r="K140" s="10">
        <f t="shared" si="22"/>
        <v>4.7003787878788006E-2</v>
      </c>
      <c r="L140" s="10">
        <v>0.70984696969697003</v>
      </c>
      <c r="M140" s="10">
        <v>0.76666666666666705</v>
      </c>
      <c r="N140" s="10">
        <f t="shared" si="23"/>
        <v>5.681969696969702E-2</v>
      </c>
      <c r="O140" s="10">
        <v>0.99949545454545496</v>
      </c>
      <c r="P140" s="10">
        <v>1</v>
      </c>
      <c r="Q140" s="10">
        <f t="shared" si="24"/>
        <v>5.0454545454503563E-4</v>
      </c>
    </row>
    <row r="141" spans="1:17">
      <c r="A141" s="3">
        <v>133</v>
      </c>
      <c r="B141" s="3" t="s">
        <v>112</v>
      </c>
      <c r="C141" s="3" t="s">
        <v>33</v>
      </c>
      <c r="D141" s="4" t="s">
        <v>191</v>
      </c>
      <c r="E141" s="5">
        <v>330.9</v>
      </c>
      <c r="F141" s="5">
        <v>360.4</v>
      </c>
      <c r="G141" s="5">
        <f t="shared" si="20"/>
        <v>29.5</v>
      </c>
      <c r="H141" s="6">
        <f t="shared" si="21"/>
        <v>8.9150800846177103E-2</v>
      </c>
      <c r="I141" s="6">
        <v>0.82567297979798004</v>
      </c>
      <c r="J141" s="6">
        <v>0.82944333333333298</v>
      </c>
      <c r="K141" s="6">
        <f t="shared" si="22"/>
        <v>3.7703535353529327E-3</v>
      </c>
      <c r="L141" s="6">
        <v>1</v>
      </c>
      <c r="M141" s="6">
        <v>1</v>
      </c>
      <c r="N141" s="6">
        <f t="shared" si="23"/>
        <v>0</v>
      </c>
      <c r="O141" s="6">
        <v>0.66640909090909095</v>
      </c>
      <c r="P141" s="6">
        <v>0.79778666666666698</v>
      </c>
      <c r="Q141" s="6">
        <f t="shared" si="24"/>
        <v>0.13137757575757603</v>
      </c>
    </row>
    <row r="142" spans="1:17">
      <c r="A142" s="7">
        <v>134</v>
      </c>
      <c r="B142" s="7" t="s">
        <v>112</v>
      </c>
      <c r="C142" s="7" t="s">
        <v>33</v>
      </c>
      <c r="D142" s="8" t="s">
        <v>192</v>
      </c>
      <c r="E142" s="9">
        <v>323.5</v>
      </c>
      <c r="F142" s="9">
        <v>352.6</v>
      </c>
      <c r="G142" s="9">
        <f t="shared" si="20"/>
        <v>29.100000000000023</v>
      </c>
      <c r="H142" s="10">
        <f t="shared" si="21"/>
        <v>8.9953632148377191E-2</v>
      </c>
      <c r="I142" s="10">
        <v>0.87786287878787905</v>
      </c>
      <c r="J142" s="10">
        <v>0.87870333333333295</v>
      </c>
      <c r="K142" s="10">
        <f t="shared" si="22"/>
        <v>8.4045454545389475E-4</v>
      </c>
      <c r="L142" s="10">
        <v>1</v>
      </c>
      <c r="M142" s="10">
        <v>1</v>
      </c>
      <c r="N142" s="10">
        <f t="shared" si="23"/>
        <v>0</v>
      </c>
      <c r="O142" s="10">
        <v>0.83611060606060605</v>
      </c>
      <c r="P142" s="10">
        <v>0.90222000000000002</v>
      </c>
      <c r="Q142" s="10">
        <f t="shared" si="24"/>
        <v>6.6109393939393968E-2</v>
      </c>
    </row>
    <row r="143" spans="1:17">
      <c r="A143" s="3">
        <v>135</v>
      </c>
      <c r="B143" s="3" t="s">
        <v>112</v>
      </c>
      <c r="C143" s="3" t="s">
        <v>33</v>
      </c>
      <c r="D143" s="4" t="s">
        <v>193</v>
      </c>
      <c r="E143" s="5">
        <v>105.2</v>
      </c>
      <c r="F143" s="5">
        <v>133.6</v>
      </c>
      <c r="G143" s="5">
        <f t="shared" si="20"/>
        <v>28.399999999999991</v>
      </c>
      <c r="H143" s="6">
        <f t="shared" si="21"/>
        <v>0.26996197718631171</v>
      </c>
      <c r="I143" s="6">
        <v>0.89650707070707103</v>
      </c>
      <c r="J143" s="6">
        <v>0.88777555555555598</v>
      </c>
      <c r="K143" s="6">
        <f t="shared" si="22"/>
        <v>-8.7315151515150458E-3</v>
      </c>
      <c r="L143" s="6">
        <v>0.77197272727272703</v>
      </c>
      <c r="M143" s="6">
        <v>0.78444000000000003</v>
      </c>
      <c r="N143" s="6">
        <f t="shared" si="23"/>
        <v>1.2467272727272993E-2</v>
      </c>
      <c r="O143" s="6">
        <v>0.99747424242424199</v>
      </c>
      <c r="P143" s="6">
        <v>0.99444666666666703</v>
      </c>
      <c r="Q143" s="6">
        <f t="shared" si="24"/>
        <v>-3.0275757575749518E-3</v>
      </c>
    </row>
    <row r="144" spans="1:17">
      <c r="A144" s="7">
        <v>136</v>
      </c>
      <c r="B144" s="7" t="s">
        <v>112</v>
      </c>
      <c r="C144" s="7" t="s">
        <v>33</v>
      </c>
      <c r="D144" s="8" t="s">
        <v>194</v>
      </c>
      <c r="E144" s="9">
        <v>118.8</v>
      </c>
      <c r="F144" s="9">
        <v>147</v>
      </c>
      <c r="G144" s="9">
        <f t="shared" si="20"/>
        <v>28.200000000000003</v>
      </c>
      <c r="H144" s="10">
        <f t="shared" si="21"/>
        <v>0.2373737373737374</v>
      </c>
      <c r="I144" s="10">
        <v>0.88223787878787896</v>
      </c>
      <c r="J144" s="10">
        <v>0.83277777777777795</v>
      </c>
      <c r="K144" s="10">
        <f t="shared" si="22"/>
        <v>-4.946010101010101E-2</v>
      </c>
      <c r="L144" s="10">
        <v>0.991665151515151</v>
      </c>
      <c r="M144" s="10">
        <v>0.95</v>
      </c>
      <c r="N144" s="10">
        <f t="shared" si="23"/>
        <v>-4.1665151515151044E-2</v>
      </c>
      <c r="O144" s="10">
        <v>0.88661363636363599</v>
      </c>
      <c r="P144" s="10">
        <v>0.85</v>
      </c>
      <c r="Q144" s="10">
        <f t="shared" si="24"/>
        <v>-3.6613636363636015E-2</v>
      </c>
    </row>
    <row r="145" spans="1:17">
      <c r="A145" s="3">
        <v>137</v>
      </c>
      <c r="B145" s="3" t="s">
        <v>112</v>
      </c>
      <c r="C145" s="3" t="s">
        <v>33</v>
      </c>
      <c r="D145" s="4" t="s">
        <v>195</v>
      </c>
      <c r="E145" s="5">
        <v>109.9</v>
      </c>
      <c r="F145" s="5">
        <v>137.80000000000001</v>
      </c>
      <c r="G145" s="5">
        <f t="shared" si="20"/>
        <v>27.900000000000006</v>
      </c>
      <c r="H145" s="6">
        <f t="shared" si="21"/>
        <v>0.25386715195632398</v>
      </c>
      <c r="I145" s="6">
        <v>0.86148914141414201</v>
      </c>
      <c r="J145" s="6">
        <v>0.91407444444444397</v>
      </c>
      <c r="K145" s="6">
        <f t="shared" si="22"/>
        <v>5.2585303030301955E-2</v>
      </c>
      <c r="L145" s="6">
        <v>0.84317878787878797</v>
      </c>
      <c r="M145" s="6">
        <v>0.82888666666666699</v>
      </c>
      <c r="N145" s="6">
        <f t="shared" si="23"/>
        <v>-1.4292121212120978E-2</v>
      </c>
      <c r="O145" s="6">
        <v>0.96464848484848498</v>
      </c>
      <c r="P145" s="6">
        <v>0.97444666666666702</v>
      </c>
      <c r="Q145" s="6">
        <f t="shared" si="24"/>
        <v>9.798181818182039E-3</v>
      </c>
    </row>
    <row r="146" spans="1:17">
      <c r="A146" s="7">
        <v>138</v>
      </c>
      <c r="B146" s="7" t="s">
        <v>112</v>
      </c>
      <c r="C146" s="7" t="s">
        <v>39</v>
      </c>
      <c r="D146" s="8" t="s">
        <v>196</v>
      </c>
      <c r="E146" s="9">
        <v>135.4</v>
      </c>
      <c r="F146" s="9">
        <v>163.19999999999999</v>
      </c>
      <c r="G146" s="9">
        <f t="shared" si="20"/>
        <v>27.799999999999983</v>
      </c>
      <c r="H146" s="10">
        <f t="shared" si="21"/>
        <v>0.20531757754800578</v>
      </c>
      <c r="I146" s="10">
        <v>0.82659974747474696</v>
      </c>
      <c r="J146" s="10">
        <v>0.86258888888888896</v>
      </c>
      <c r="K146" s="10">
        <f t="shared" si="22"/>
        <v>3.5989141414142001E-2</v>
      </c>
      <c r="L146" s="10">
        <v>0.699242424242424</v>
      </c>
      <c r="M146" s="10">
        <v>0.69665999999999995</v>
      </c>
      <c r="N146" s="10">
        <f t="shared" si="23"/>
        <v>-2.5824242424240529E-3</v>
      </c>
      <c r="O146" s="10">
        <v>0.92474696969697001</v>
      </c>
      <c r="P146" s="10">
        <v>0.89332666666666705</v>
      </c>
      <c r="Q146" s="10">
        <f t="shared" si="24"/>
        <v>-3.1420303030302965E-2</v>
      </c>
    </row>
    <row r="147" spans="1:17">
      <c r="A147" s="3">
        <v>139</v>
      </c>
      <c r="B147" s="3" t="s">
        <v>112</v>
      </c>
      <c r="C147" s="3" t="s">
        <v>38</v>
      </c>
      <c r="D147" s="4" t="s">
        <v>197</v>
      </c>
      <c r="E147" s="5">
        <v>169.2</v>
      </c>
      <c r="F147" s="5">
        <v>196.8</v>
      </c>
      <c r="G147" s="5">
        <f t="shared" si="20"/>
        <v>27.600000000000023</v>
      </c>
      <c r="H147" s="6">
        <f t="shared" si="21"/>
        <v>0.16312056737588668</v>
      </c>
      <c r="I147" s="6">
        <v>0.86346767676767699</v>
      </c>
      <c r="J147" s="6">
        <v>0.82777444444444404</v>
      </c>
      <c r="K147" s="6">
        <f t="shared" si="22"/>
        <v>-3.569323232323296E-2</v>
      </c>
      <c r="L147" s="6">
        <v>0.61237424242424199</v>
      </c>
      <c r="M147" s="6">
        <v>0.67332666666666696</v>
      </c>
      <c r="N147" s="6">
        <f t="shared" si="23"/>
        <v>6.0952424242424974E-2</v>
      </c>
      <c r="O147" s="6">
        <v>0.99343333333333295</v>
      </c>
      <c r="P147" s="6">
        <v>0.99443999999999999</v>
      </c>
      <c r="Q147" s="6">
        <f t="shared" si="24"/>
        <v>1.0066666666670443E-3</v>
      </c>
    </row>
    <row r="148" spans="1:17">
      <c r="A148" s="7">
        <v>140</v>
      </c>
      <c r="B148" s="7" t="s">
        <v>112</v>
      </c>
      <c r="C148" s="7" t="s">
        <v>33</v>
      </c>
      <c r="D148" s="8" t="s">
        <v>198</v>
      </c>
      <c r="E148" s="9">
        <v>119.5</v>
      </c>
      <c r="F148" s="9">
        <v>146.80000000000001</v>
      </c>
      <c r="G148" s="9">
        <f t="shared" si="20"/>
        <v>27.300000000000011</v>
      </c>
      <c r="H148" s="10">
        <f t="shared" si="21"/>
        <v>0.22845188284518839</v>
      </c>
      <c r="I148" s="10">
        <v>0.87428510101010104</v>
      </c>
      <c r="J148" s="10">
        <v>0.88277555555555598</v>
      </c>
      <c r="K148" s="10">
        <f t="shared" si="22"/>
        <v>8.4904545454549396E-3</v>
      </c>
      <c r="L148" s="10">
        <v>0.59520909090909102</v>
      </c>
      <c r="M148" s="10">
        <v>0.64</v>
      </c>
      <c r="N148" s="10">
        <f t="shared" si="23"/>
        <v>4.4790909090908992E-2</v>
      </c>
      <c r="O148" s="10">
        <v>0.99898939393939401</v>
      </c>
      <c r="P148" s="10">
        <v>0.98666666666666702</v>
      </c>
      <c r="Q148" s="10">
        <f t="shared" si="24"/>
        <v>-1.2322727272726985E-2</v>
      </c>
    </row>
    <row r="149" spans="1:17">
      <c r="A149" s="3">
        <v>141</v>
      </c>
      <c r="B149" s="3" t="s">
        <v>112</v>
      </c>
      <c r="C149" s="3" t="s">
        <v>33</v>
      </c>
      <c r="D149" s="4" t="s">
        <v>199</v>
      </c>
      <c r="E149" s="5">
        <v>139.9</v>
      </c>
      <c r="F149" s="5">
        <v>166.8</v>
      </c>
      <c r="G149" s="5">
        <f t="shared" si="20"/>
        <v>26.900000000000006</v>
      </c>
      <c r="H149" s="6">
        <f t="shared" si="21"/>
        <v>0.1922802001429593</v>
      </c>
      <c r="I149" s="6">
        <v>0.77478787878787903</v>
      </c>
      <c r="J149" s="6">
        <v>0.800925555555555</v>
      </c>
      <c r="K149" s="6">
        <f t="shared" si="22"/>
        <v>2.6137676767675977E-2</v>
      </c>
      <c r="L149" s="6">
        <v>1</v>
      </c>
      <c r="M149" s="6">
        <v>1</v>
      </c>
      <c r="N149" s="6">
        <f t="shared" si="23"/>
        <v>0</v>
      </c>
      <c r="O149" s="6">
        <v>0.58332727272727303</v>
      </c>
      <c r="P149" s="6">
        <v>0.66889333333333301</v>
      </c>
      <c r="Q149" s="6">
        <f t="shared" si="24"/>
        <v>8.5566060606059979E-2</v>
      </c>
    </row>
    <row r="150" spans="1:17">
      <c r="A150" s="7">
        <v>142</v>
      </c>
      <c r="B150" s="7" t="s">
        <v>112</v>
      </c>
      <c r="C150" s="7" t="s">
        <v>33</v>
      </c>
      <c r="D150" s="8" t="s">
        <v>200</v>
      </c>
      <c r="E150" s="9">
        <v>114</v>
      </c>
      <c r="F150" s="9">
        <v>139.4</v>
      </c>
      <c r="G150" s="9">
        <f t="shared" si="20"/>
        <v>25.400000000000006</v>
      </c>
      <c r="H150" s="10">
        <f t="shared" si="21"/>
        <v>0.2228070175438597</v>
      </c>
      <c r="I150" s="10">
        <v>0.89692803030303003</v>
      </c>
      <c r="J150" s="10">
        <v>0.87703666666666702</v>
      </c>
      <c r="K150" s="10">
        <f t="shared" si="22"/>
        <v>-1.9891363636363013E-2</v>
      </c>
      <c r="L150" s="10">
        <v>0.72071212121212103</v>
      </c>
      <c r="M150" s="10">
        <v>0.76888666666666705</v>
      </c>
      <c r="N150" s="10">
        <f t="shared" si="23"/>
        <v>4.8174545454546025E-2</v>
      </c>
      <c r="O150" s="10">
        <v>1</v>
      </c>
      <c r="P150" s="10">
        <v>0.99</v>
      </c>
      <c r="Q150" s="10">
        <f t="shared" si="24"/>
        <v>-1.0000000000000009E-2</v>
      </c>
    </row>
    <row r="151" spans="1:17">
      <c r="A151" s="3">
        <v>143</v>
      </c>
      <c r="B151" s="3" t="s">
        <v>112</v>
      </c>
      <c r="C151" s="3" t="s">
        <v>33</v>
      </c>
      <c r="D151" s="4" t="s">
        <v>201</v>
      </c>
      <c r="E151" s="5">
        <v>116.4</v>
      </c>
      <c r="F151" s="5">
        <v>141.80000000000001</v>
      </c>
      <c r="G151" s="5">
        <f t="shared" si="20"/>
        <v>25.400000000000006</v>
      </c>
      <c r="H151" s="6">
        <f t="shared" si="21"/>
        <v>0.21821305841924402</v>
      </c>
      <c r="I151" s="6">
        <v>0.81864494949494904</v>
      </c>
      <c r="J151" s="6">
        <v>0.80647777777777796</v>
      </c>
      <c r="K151" s="6">
        <f t="shared" si="22"/>
        <v>-1.2167171717171077E-2</v>
      </c>
      <c r="L151" s="6">
        <v>0.97474848484848498</v>
      </c>
      <c r="M151" s="6">
        <v>0.911113333333333</v>
      </c>
      <c r="N151" s="6">
        <f t="shared" si="23"/>
        <v>-6.3635151515151978E-2</v>
      </c>
      <c r="O151" s="6">
        <v>0.74293030303030305</v>
      </c>
      <c r="P151" s="6">
        <v>0.80444000000000004</v>
      </c>
      <c r="Q151" s="6">
        <f t="shared" si="24"/>
        <v>6.1509696969696992E-2</v>
      </c>
    </row>
    <row r="152" spans="1:17">
      <c r="A152" s="7">
        <v>144</v>
      </c>
      <c r="B152" s="7" t="s">
        <v>112</v>
      </c>
      <c r="C152" s="7" t="s">
        <v>33</v>
      </c>
      <c r="D152" s="8" t="s">
        <v>202</v>
      </c>
      <c r="E152" s="9">
        <v>136.5</v>
      </c>
      <c r="F152" s="9">
        <v>161.19999999999999</v>
      </c>
      <c r="G152" s="9">
        <f t="shared" si="20"/>
        <v>24.699999999999989</v>
      </c>
      <c r="H152" s="10">
        <f t="shared" si="21"/>
        <v>0.18095238095238086</v>
      </c>
      <c r="I152" s="10">
        <v>0.84789646464646495</v>
      </c>
      <c r="J152" s="10">
        <v>0.84851666666666703</v>
      </c>
      <c r="K152" s="10">
        <f t="shared" si="22"/>
        <v>6.2020202020207638E-4</v>
      </c>
      <c r="L152" s="10">
        <v>0.99292878787878802</v>
      </c>
      <c r="M152" s="10">
        <v>0.98222666666666703</v>
      </c>
      <c r="N152" s="10">
        <f t="shared" si="23"/>
        <v>-1.0702121212120996E-2</v>
      </c>
      <c r="O152" s="10">
        <v>0.74722424242424301</v>
      </c>
      <c r="P152" s="10">
        <v>0.89666666666666694</v>
      </c>
      <c r="Q152" s="10">
        <f t="shared" si="24"/>
        <v>0.14944242424242393</v>
      </c>
    </row>
    <row r="153" spans="1:17">
      <c r="A153" s="3">
        <v>145</v>
      </c>
      <c r="B153" s="3" t="s">
        <v>112</v>
      </c>
      <c r="C153" s="3" t="s">
        <v>33</v>
      </c>
      <c r="D153" s="4" t="s">
        <v>203</v>
      </c>
      <c r="E153" s="5">
        <v>133.4</v>
      </c>
      <c r="F153" s="5">
        <v>157.80000000000001</v>
      </c>
      <c r="G153" s="5">
        <f t="shared" si="20"/>
        <v>24.400000000000006</v>
      </c>
      <c r="H153" s="6">
        <f t="shared" si="21"/>
        <v>0.18290854572713647</v>
      </c>
      <c r="I153" s="6">
        <v>0.85673484848484804</v>
      </c>
      <c r="J153" s="6">
        <v>0.85833222222222205</v>
      </c>
      <c r="K153" s="6">
        <f t="shared" si="22"/>
        <v>1.5973737373740082E-3</v>
      </c>
      <c r="L153" s="6">
        <v>0.87828333333333297</v>
      </c>
      <c r="M153" s="6">
        <v>0.77555333333333298</v>
      </c>
      <c r="N153" s="6">
        <f t="shared" si="23"/>
        <v>-0.10272999999999999</v>
      </c>
      <c r="O153" s="6">
        <v>0.96742272727272705</v>
      </c>
      <c r="P153" s="6">
        <v>0.99333333333333296</v>
      </c>
      <c r="Q153" s="6">
        <f t="shared" si="24"/>
        <v>2.5910606060605912E-2</v>
      </c>
    </row>
    <row r="154" spans="1:17">
      <c r="A154" s="7">
        <v>146</v>
      </c>
      <c r="B154" s="7" t="s">
        <v>112</v>
      </c>
      <c r="C154" s="7" t="s">
        <v>34</v>
      </c>
      <c r="D154" s="8" t="s">
        <v>204</v>
      </c>
      <c r="E154" s="9">
        <v>241.9</v>
      </c>
      <c r="F154" s="9">
        <v>266</v>
      </c>
      <c r="G154" s="9">
        <f t="shared" si="20"/>
        <v>24.099999999999994</v>
      </c>
      <c r="H154" s="10">
        <f t="shared" si="21"/>
        <v>9.962794543199667E-2</v>
      </c>
      <c r="I154" s="10">
        <v>0.86860277777777795</v>
      </c>
      <c r="J154" s="10">
        <v>0.94259222222222205</v>
      </c>
      <c r="K154" s="10">
        <f t="shared" si="22"/>
        <v>7.3989444444444108E-2</v>
      </c>
      <c r="L154" s="10">
        <v>0.90782878787878796</v>
      </c>
      <c r="M154" s="10">
        <v>0.87222666666666704</v>
      </c>
      <c r="N154" s="10">
        <f t="shared" si="23"/>
        <v>-3.5602121212120919E-2</v>
      </c>
      <c r="O154" s="10">
        <v>0.89217121212121198</v>
      </c>
      <c r="P154" s="10">
        <v>0.98333333333333295</v>
      </c>
      <c r="Q154" s="10">
        <f t="shared" si="24"/>
        <v>9.1162121212120972E-2</v>
      </c>
    </row>
    <row r="155" spans="1:17">
      <c r="A155" s="3">
        <v>147</v>
      </c>
      <c r="B155" s="3" t="s">
        <v>112</v>
      </c>
      <c r="C155" s="3" t="s">
        <v>33</v>
      </c>
      <c r="D155" s="4" t="s">
        <v>205</v>
      </c>
      <c r="E155" s="5">
        <v>140.80000000000001</v>
      </c>
      <c r="F155" s="5">
        <v>164.2</v>
      </c>
      <c r="G155" s="5">
        <f t="shared" si="20"/>
        <v>23.399999999999977</v>
      </c>
      <c r="H155" s="6">
        <f t="shared" si="21"/>
        <v>0.16619318181818166</v>
      </c>
      <c r="I155" s="6">
        <v>0.77293737373737403</v>
      </c>
      <c r="J155" s="6">
        <v>0.77555888888888902</v>
      </c>
      <c r="K155" s="6">
        <f t="shared" si="22"/>
        <v>2.6215151515149859E-3</v>
      </c>
      <c r="L155" s="6">
        <v>1</v>
      </c>
      <c r="M155" s="6">
        <v>1</v>
      </c>
      <c r="N155" s="6">
        <f t="shared" si="23"/>
        <v>0</v>
      </c>
      <c r="O155" s="6">
        <v>0.60555606060606104</v>
      </c>
      <c r="P155" s="6">
        <v>0.67556666666666698</v>
      </c>
      <c r="Q155" s="6">
        <f t="shared" si="24"/>
        <v>7.001060606060594E-2</v>
      </c>
    </row>
    <row r="156" spans="1:17">
      <c r="A156" s="7">
        <v>148</v>
      </c>
      <c r="B156" s="7" t="s">
        <v>112</v>
      </c>
      <c r="C156" s="7" t="s">
        <v>34</v>
      </c>
      <c r="D156" s="8" t="s">
        <v>206</v>
      </c>
      <c r="E156" s="9">
        <v>108.6</v>
      </c>
      <c r="F156" s="9">
        <v>131.80000000000001</v>
      </c>
      <c r="G156" s="9">
        <f t="shared" si="20"/>
        <v>23.200000000000017</v>
      </c>
      <c r="H156" s="10">
        <f t="shared" si="21"/>
        <v>0.21362799263351767</v>
      </c>
      <c r="I156" s="10">
        <v>0.88606944444444502</v>
      </c>
      <c r="J156" s="10">
        <v>0.86425666666666701</v>
      </c>
      <c r="K156" s="10">
        <f t="shared" si="22"/>
        <v>-2.1812777777778014E-2</v>
      </c>
      <c r="L156" s="10">
        <v>0.82449696969696995</v>
      </c>
      <c r="M156" s="10">
        <v>0.85332666666666701</v>
      </c>
      <c r="N156" s="10">
        <f t="shared" si="23"/>
        <v>2.8829696969697061E-2</v>
      </c>
      <c r="O156" s="10">
        <v>0.94065909090909094</v>
      </c>
      <c r="P156" s="10">
        <v>0.90333333333333299</v>
      </c>
      <c r="Q156" s="10">
        <f t="shared" si="24"/>
        <v>-3.7325757575757956E-2</v>
      </c>
    </row>
    <row r="157" spans="1:17">
      <c r="A157" s="3">
        <v>149</v>
      </c>
      <c r="B157" s="3" t="s">
        <v>112</v>
      </c>
      <c r="C157" s="3" t="s">
        <v>39</v>
      </c>
      <c r="D157" s="4" t="s">
        <v>207</v>
      </c>
      <c r="E157" s="5">
        <v>116.6</v>
      </c>
      <c r="F157" s="5">
        <v>139</v>
      </c>
      <c r="G157" s="5">
        <f t="shared" si="20"/>
        <v>22.400000000000006</v>
      </c>
      <c r="H157" s="6">
        <f t="shared" si="21"/>
        <v>0.19210977701543744</v>
      </c>
      <c r="I157" s="6">
        <v>0.71952878787878805</v>
      </c>
      <c r="J157" s="6">
        <v>0.714632222222222</v>
      </c>
      <c r="K157" s="6">
        <f t="shared" si="22"/>
        <v>-4.8965656565660431E-3</v>
      </c>
      <c r="L157" s="6">
        <v>0.97777727272727299</v>
      </c>
      <c r="M157" s="6">
        <v>1</v>
      </c>
      <c r="N157" s="6">
        <f t="shared" si="23"/>
        <v>2.2222727272727005E-2</v>
      </c>
      <c r="O157" s="6">
        <v>0.53914393939393901</v>
      </c>
      <c r="P157" s="6">
        <v>0.58889333333333305</v>
      </c>
      <c r="Q157" s="6">
        <f t="shared" si="24"/>
        <v>4.9749393939394038E-2</v>
      </c>
    </row>
    <row r="158" spans="1:17">
      <c r="A158" s="7">
        <v>150</v>
      </c>
      <c r="B158" s="7" t="s">
        <v>112</v>
      </c>
      <c r="C158" s="7" t="s">
        <v>33</v>
      </c>
      <c r="D158" s="8" t="s">
        <v>208</v>
      </c>
      <c r="E158" s="9">
        <v>137.69999999999999</v>
      </c>
      <c r="F158" s="9">
        <v>159.19999999999999</v>
      </c>
      <c r="G158" s="9">
        <f t="shared" si="20"/>
        <v>21.5</v>
      </c>
      <c r="H158" s="10">
        <f t="shared" si="21"/>
        <v>0.15613652868554831</v>
      </c>
      <c r="I158" s="10">
        <v>0.89267601010101005</v>
      </c>
      <c r="J158" s="10">
        <v>0.82852000000000003</v>
      </c>
      <c r="K158" s="10">
        <f t="shared" si="22"/>
        <v>-6.4156010101010019E-2</v>
      </c>
      <c r="L158" s="10">
        <v>0.79242424242424303</v>
      </c>
      <c r="M158" s="10">
        <v>0.67111333333333301</v>
      </c>
      <c r="N158" s="10">
        <f t="shared" si="23"/>
        <v>-0.12131090909091002</v>
      </c>
      <c r="O158" s="10">
        <v>0.98939393939393905</v>
      </c>
      <c r="P158" s="10">
        <v>0.95667333333333304</v>
      </c>
      <c r="Q158" s="10">
        <f t="shared" si="24"/>
        <v>-3.2720606060606006E-2</v>
      </c>
    </row>
    <row r="159" spans="1:17">
      <c r="A159" s="3">
        <v>151</v>
      </c>
      <c r="B159" s="3" t="s">
        <v>112</v>
      </c>
      <c r="C159" s="3" t="s">
        <v>35</v>
      </c>
      <c r="D159" s="4" t="s">
        <v>209</v>
      </c>
      <c r="E159" s="5">
        <v>139.6</v>
      </c>
      <c r="F159" s="5">
        <v>158.4</v>
      </c>
      <c r="G159" s="5">
        <f t="shared" si="20"/>
        <v>18.800000000000011</v>
      </c>
      <c r="H159" s="6">
        <f t="shared" si="21"/>
        <v>0.13467048710601728</v>
      </c>
      <c r="I159" s="6">
        <v>0.88581666666666703</v>
      </c>
      <c r="J159" s="6">
        <v>0.88555666666666699</v>
      </c>
      <c r="K159" s="6">
        <f t="shared" si="22"/>
        <v>-2.6000000000003798E-4</v>
      </c>
      <c r="L159" s="6">
        <v>0.67423939393939403</v>
      </c>
      <c r="M159" s="6">
        <v>0.68</v>
      </c>
      <c r="N159" s="6">
        <f t="shared" si="23"/>
        <v>5.7606060606060217E-3</v>
      </c>
      <c r="O159" s="6">
        <v>0.99949393939393905</v>
      </c>
      <c r="P159" s="6">
        <v>0.99444666666666703</v>
      </c>
      <c r="Q159" s="6">
        <f t="shared" si="24"/>
        <v>-5.0472727272720119E-3</v>
      </c>
    </row>
    <row r="160" spans="1:17">
      <c r="A160" s="7">
        <v>152</v>
      </c>
      <c r="B160" s="7" t="s">
        <v>112</v>
      </c>
      <c r="C160" s="7" t="s">
        <v>35</v>
      </c>
      <c r="D160" s="8" t="s">
        <v>210</v>
      </c>
      <c r="E160" s="9">
        <v>122.6</v>
      </c>
      <c r="F160" s="9">
        <v>141.4</v>
      </c>
      <c r="G160" s="9">
        <f t="shared" si="20"/>
        <v>18.800000000000011</v>
      </c>
      <c r="H160" s="10">
        <f t="shared" si="21"/>
        <v>0.15334420880913549</v>
      </c>
      <c r="I160" s="10">
        <v>0.89065606060606095</v>
      </c>
      <c r="J160" s="10">
        <v>0.819075555555556</v>
      </c>
      <c r="K160" s="10">
        <f t="shared" si="22"/>
        <v>-7.158050505050495E-2</v>
      </c>
      <c r="L160" s="10">
        <v>0.75807878787878802</v>
      </c>
      <c r="M160" s="10">
        <v>0.46666666666666701</v>
      </c>
      <c r="N160" s="10">
        <f t="shared" si="23"/>
        <v>-0.29141212121212101</v>
      </c>
      <c r="O160" s="10">
        <v>1</v>
      </c>
      <c r="P160" s="10">
        <v>0.99333333333333296</v>
      </c>
      <c r="Q160" s="10">
        <f t="shared" si="24"/>
        <v>-6.6666666666670427E-3</v>
      </c>
    </row>
    <row r="161" spans="1:17">
      <c r="A161" s="3">
        <v>153</v>
      </c>
      <c r="B161" s="3" t="s">
        <v>112</v>
      </c>
      <c r="C161" s="3" t="s">
        <v>39</v>
      </c>
      <c r="D161" s="4" t="s">
        <v>211</v>
      </c>
      <c r="E161" s="5">
        <v>118.3</v>
      </c>
      <c r="F161" s="5">
        <v>136.80000000000001</v>
      </c>
      <c r="G161" s="5">
        <f t="shared" si="20"/>
        <v>18.500000000000014</v>
      </c>
      <c r="H161" s="6">
        <f t="shared" si="21"/>
        <v>0.15638207945900265</v>
      </c>
      <c r="I161" s="6">
        <v>0.816834848484849</v>
      </c>
      <c r="J161" s="6">
        <v>0.83851888888888904</v>
      </c>
      <c r="K161" s="6">
        <f t="shared" si="22"/>
        <v>2.1684040404040039E-2</v>
      </c>
      <c r="L161" s="6">
        <v>0.99318030303030302</v>
      </c>
      <c r="M161" s="6">
        <v>0.915553333333333</v>
      </c>
      <c r="N161" s="6">
        <f t="shared" si="23"/>
        <v>-7.7626969696970027E-2</v>
      </c>
      <c r="O161" s="6">
        <v>0.65884090909090898</v>
      </c>
      <c r="P161" s="6">
        <v>0.83555999999999997</v>
      </c>
      <c r="Q161" s="6">
        <f t="shared" si="24"/>
        <v>0.17671909090909099</v>
      </c>
    </row>
    <row r="162" spans="1:17">
      <c r="A162" s="7">
        <v>154</v>
      </c>
      <c r="B162" s="7" t="s">
        <v>112</v>
      </c>
      <c r="C162" s="7" t="s">
        <v>33</v>
      </c>
      <c r="D162" s="8" t="s">
        <v>212</v>
      </c>
      <c r="E162" s="9">
        <v>176.8</v>
      </c>
      <c r="F162" s="9">
        <v>193.4</v>
      </c>
      <c r="G162" s="9">
        <f t="shared" si="20"/>
        <v>16.599999999999994</v>
      </c>
      <c r="H162" s="10">
        <f t="shared" si="21"/>
        <v>9.3891402714932085E-2</v>
      </c>
      <c r="I162" s="10">
        <v>0.87327424242424201</v>
      </c>
      <c r="J162" s="10">
        <v>0.87499888888888899</v>
      </c>
      <c r="K162" s="10">
        <f t="shared" si="22"/>
        <v>1.7246464646469839E-3</v>
      </c>
      <c r="L162" s="10">
        <v>0.69898787878787905</v>
      </c>
      <c r="M162" s="10">
        <v>0.57777333333333303</v>
      </c>
      <c r="N162" s="10">
        <f t="shared" si="23"/>
        <v>-0.12121454545454602</v>
      </c>
      <c r="O162" s="10">
        <v>0.99242272727272696</v>
      </c>
      <c r="P162" s="10">
        <v>0.98221999999999998</v>
      </c>
      <c r="Q162" s="10">
        <f t="shared" si="24"/>
        <v>-1.0202727272726975E-2</v>
      </c>
    </row>
    <row r="163" spans="1:17">
      <c r="A163" s="3">
        <v>155</v>
      </c>
      <c r="B163" s="3" t="s">
        <v>112</v>
      </c>
      <c r="C163" s="3" t="s">
        <v>33</v>
      </c>
      <c r="D163" s="4" t="s">
        <v>213</v>
      </c>
      <c r="E163" s="5">
        <v>121.8</v>
      </c>
      <c r="F163" s="5">
        <v>136.80000000000001</v>
      </c>
      <c r="G163" s="5">
        <f t="shared" si="20"/>
        <v>15.000000000000014</v>
      </c>
      <c r="H163" s="6">
        <f t="shared" si="21"/>
        <v>0.12315270935960602</v>
      </c>
      <c r="I163" s="6">
        <v>0.85315530303030296</v>
      </c>
      <c r="J163" s="6">
        <v>0.81333333333333302</v>
      </c>
      <c r="K163" s="6">
        <f t="shared" si="22"/>
        <v>-3.9821969696969939E-2</v>
      </c>
      <c r="L163" s="6">
        <v>1</v>
      </c>
      <c r="M163" s="6">
        <v>1</v>
      </c>
      <c r="N163" s="6">
        <f t="shared" si="23"/>
        <v>0</v>
      </c>
      <c r="O163" s="6">
        <v>0.79191818181818197</v>
      </c>
      <c r="P163" s="6">
        <v>0.82443999999999995</v>
      </c>
      <c r="Q163" s="6">
        <f t="shared" si="24"/>
        <v>3.2521818181817985E-2</v>
      </c>
    </row>
    <row r="164" spans="1:17">
      <c r="A164" s="7">
        <v>156</v>
      </c>
      <c r="B164" s="7" t="s">
        <v>112</v>
      </c>
      <c r="C164" s="7" t="s">
        <v>39</v>
      </c>
      <c r="D164" s="8" t="s">
        <v>214</v>
      </c>
      <c r="E164" s="9">
        <v>106.9</v>
      </c>
      <c r="F164" s="9">
        <v>121.8</v>
      </c>
      <c r="G164" s="9">
        <f t="shared" si="20"/>
        <v>14.899999999999991</v>
      </c>
      <c r="H164" s="10">
        <f t="shared" si="21"/>
        <v>0.13938260056127214</v>
      </c>
      <c r="I164" s="10">
        <v>0.87756717171717202</v>
      </c>
      <c r="J164" s="10">
        <v>0.89148111111111095</v>
      </c>
      <c r="K164" s="10">
        <f t="shared" si="22"/>
        <v>1.3913939393938923E-2</v>
      </c>
      <c r="L164" s="10">
        <v>0.79191818181818197</v>
      </c>
      <c r="M164" s="10">
        <v>0.69333333333333302</v>
      </c>
      <c r="N164" s="10">
        <f t="shared" si="23"/>
        <v>-9.8584848484848941E-2</v>
      </c>
      <c r="O164" s="10">
        <v>0.99166666666666703</v>
      </c>
      <c r="P164" s="10">
        <v>0.99666666666666703</v>
      </c>
      <c r="Q164" s="10">
        <f t="shared" si="24"/>
        <v>5.0000000000000044E-3</v>
      </c>
    </row>
    <row r="165" spans="1:17">
      <c r="A165" s="3">
        <v>157</v>
      </c>
      <c r="B165" s="3" t="s">
        <v>112</v>
      </c>
      <c r="C165" s="3" t="s">
        <v>33</v>
      </c>
      <c r="D165" s="4" t="s">
        <v>215</v>
      </c>
      <c r="E165" s="5">
        <v>108.6</v>
      </c>
      <c r="F165" s="5">
        <v>123.2</v>
      </c>
      <c r="G165" s="5">
        <f t="shared" si="20"/>
        <v>14.600000000000009</v>
      </c>
      <c r="H165" s="6">
        <f t="shared" si="21"/>
        <v>0.13443830570902401</v>
      </c>
      <c r="I165" s="6">
        <v>0.84107777777777804</v>
      </c>
      <c r="J165" s="6">
        <v>0.83537111111111095</v>
      </c>
      <c r="K165" s="6">
        <f t="shared" si="22"/>
        <v>-5.7066666666670818E-3</v>
      </c>
      <c r="L165" s="6">
        <v>0.66313030303030296</v>
      </c>
      <c r="M165" s="6">
        <v>0.75446000000000002</v>
      </c>
      <c r="N165" s="6">
        <f t="shared" si="23"/>
        <v>9.1329696969697061E-2</v>
      </c>
      <c r="O165" s="6">
        <v>0.90631515151515196</v>
      </c>
      <c r="P165" s="6">
        <v>0.93333333333333302</v>
      </c>
      <c r="Q165" s="6">
        <f t="shared" si="24"/>
        <v>2.7018181818181053E-2</v>
      </c>
    </row>
    <row r="166" spans="1:17">
      <c r="A166" s="7">
        <v>158</v>
      </c>
      <c r="B166" s="7" t="s">
        <v>112</v>
      </c>
      <c r="C166" s="7" t="s">
        <v>33</v>
      </c>
      <c r="D166" s="8" t="s">
        <v>216</v>
      </c>
      <c r="E166" s="9">
        <v>127.4</v>
      </c>
      <c r="F166" s="9">
        <v>141.4</v>
      </c>
      <c r="G166" s="9">
        <f t="shared" si="20"/>
        <v>14</v>
      </c>
      <c r="H166" s="10">
        <f t="shared" si="21"/>
        <v>0.10989010989010989</v>
      </c>
      <c r="I166" s="10">
        <v>0.79099520202020202</v>
      </c>
      <c r="J166" s="10">
        <v>0.780742222222222</v>
      </c>
      <c r="K166" s="10">
        <f t="shared" si="22"/>
        <v>-1.0252979797980011E-2</v>
      </c>
      <c r="L166" s="10">
        <v>0.931059090909091</v>
      </c>
      <c r="M166" s="10">
        <v>0.77110666666666705</v>
      </c>
      <c r="N166" s="10">
        <f t="shared" si="23"/>
        <v>-0.15995242424242395</v>
      </c>
      <c r="O166" s="10">
        <v>0.78182272727272695</v>
      </c>
      <c r="P166" s="10">
        <v>0.84333333333333305</v>
      </c>
      <c r="Q166" s="10">
        <f t="shared" si="24"/>
        <v>6.1510606060606099E-2</v>
      </c>
    </row>
    <row r="167" spans="1:17">
      <c r="A167" s="3">
        <v>159</v>
      </c>
      <c r="B167" s="3" t="s">
        <v>112</v>
      </c>
      <c r="C167" s="3" t="s">
        <v>35</v>
      </c>
      <c r="D167" s="4" t="s">
        <v>217</v>
      </c>
      <c r="E167" s="5">
        <v>155.69999999999999</v>
      </c>
      <c r="F167" s="5">
        <v>169.4</v>
      </c>
      <c r="G167" s="5">
        <f t="shared" si="20"/>
        <v>13.700000000000017</v>
      </c>
      <c r="H167" s="6">
        <f t="shared" si="21"/>
        <v>8.7989723827874233E-2</v>
      </c>
      <c r="I167" s="6">
        <v>0.87218156565656602</v>
      </c>
      <c r="J167" s="6">
        <v>0.90425888888888895</v>
      </c>
      <c r="K167" s="6">
        <f t="shared" si="22"/>
        <v>3.207732323232293E-2</v>
      </c>
      <c r="L167" s="6">
        <v>0.70429848484848501</v>
      </c>
      <c r="M167" s="6">
        <v>0.86444666666666703</v>
      </c>
      <c r="N167" s="6">
        <f t="shared" si="23"/>
        <v>0.16014818181818202</v>
      </c>
      <c r="O167" s="6">
        <v>0.99217121212121195</v>
      </c>
      <c r="P167" s="6">
        <v>0.91332666666666695</v>
      </c>
      <c r="Q167" s="6">
        <f t="shared" si="24"/>
        <v>-7.8844545454545001E-2</v>
      </c>
    </row>
    <row r="168" spans="1:17">
      <c r="A168" s="7">
        <v>160</v>
      </c>
      <c r="B168" s="7" t="s">
        <v>112</v>
      </c>
      <c r="C168" s="7" t="s">
        <v>36</v>
      </c>
      <c r="D168" s="8" t="s">
        <v>218</v>
      </c>
      <c r="E168" s="9">
        <v>223.8</v>
      </c>
      <c r="F168" s="9">
        <v>237</v>
      </c>
      <c r="G168" s="9">
        <f t="shared" si="20"/>
        <v>13.199999999999989</v>
      </c>
      <c r="H168" s="10">
        <f t="shared" si="21"/>
        <v>5.8981233243967778E-2</v>
      </c>
      <c r="I168" s="10">
        <v>0.89856792929292895</v>
      </c>
      <c r="J168" s="10">
        <v>0.87296444444444399</v>
      </c>
      <c r="K168" s="10">
        <f t="shared" si="22"/>
        <v>-2.5603484848484959E-2</v>
      </c>
      <c r="L168" s="10">
        <v>0.789640909090909</v>
      </c>
      <c r="M168" s="10">
        <v>0.61443999999999999</v>
      </c>
      <c r="N168" s="10">
        <f t="shared" si="23"/>
        <v>-0.17520090909090902</v>
      </c>
      <c r="O168" s="10">
        <v>0.99747575757575802</v>
      </c>
      <c r="P168" s="10">
        <v>1</v>
      </c>
      <c r="Q168" s="10">
        <f t="shared" si="24"/>
        <v>2.5242424242419848E-3</v>
      </c>
    </row>
    <row r="169" spans="1:17">
      <c r="A169" s="3">
        <v>161</v>
      </c>
      <c r="B169" s="3" t="s">
        <v>112</v>
      </c>
      <c r="C169" s="3" t="s">
        <v>44</v>
      </c>
      <c r="D169" s="4" t="s">
        <v>219</v>
      </c>
      <c r="E169" s="5">
        <v>109.9</v>
      </c>
      <c r="F169" s="5">
        <v>122.2</v>
      </c>
      <c r="G169" s="5">
        <f t="shared" ref="G169:G199" si="25">IF(OR(E169="",F169=""),"",F169-E169)</f>
        <v>12.299999999999997</v>
      </c>
      <c r="H169" s="6">
        <f t="shared" ref="H169:H199" si="26">IF(OR(E169="",F169="",E169=0),"",(F169-E169)/E169)</f>
        <v>0.11191992720655138</v>
      </c>
      <c r="I169" s="6">
        <v>0.89789545454545405</v>
      </c>
      <c r="J169" s="6">
        <v>0.99055555555555597</v>
      </c>
      <c r="K169" s="6">
        <f t="shared" ref="K169:K199" si="27">IF(OR(I169="",J169=""),"",J169-I169)</f>
        <v>9.2660101010101914E-2</v>
      </c>
      <c r="L169" s="6">
        <v>0.99671666666666703</v>
      </c>
      <c r="M169" s="6">
        <v>1</v>
      </c>
      <c r="N169" s="6">
        <f t="shared" ref="N169:N199" si="28">IF(OR(L169="",M169=""),"",M169-L169)</f>
        <v>3.2833333333329717E-3</v>
      </c>
      <c r="O169" s="6">
        <v>0.74040303030303001</v>
      </c>
      <c r="P169" s="6">
        <v>0.98333333333333295</v>
      </c>
      <c r="Q169" s="6">
        <f t="shared" ref="Q169:Q199" si="29">IF(OR(O169="",P169=""),"",P169-O169)</f>
        <v>0.24293030303030294</v>
      </c>
    </row>
    <row r="170" spans="1:17">
      <c r="A170" s="7">
        <v>162</v>
      </c>
      <c r="B170" s="7" t="s">
        <v>112</v>
      </c>
      <c r="C170" s="7" t="s">
        <v>39</v>
      </c>
      <c r="D170" s="8" t="s">
        <v>220</v>
      </c>
      <c r="E170" s="9">
        <v>119.6</v>
      </c>
      <c r="F170" s="9">
        <v>131.6</v>
      </c>
      <c r="G170" s="9">
        <f t="shared" si="25"/>
        <v>12</v>
      </c>
      <c r="H170" s="10">
        <f t="shared" si="26"/>
        <v>0.10033444816053512</v>
      </c>
      <c r="I170" s="10">
        <v>0.88682878787878805</v>
      </c>
      <c r="J170" s="10">
        <v>0.85352111111111095</v>
      </c>
      <c r="K170" s="10">
        <f t="shared" si="27"/>
        <v>-3.3307676767677097E-2</v>
      </c>
      <c r="L170" s="10">
        <v>0.69823636363636399</v>
      </c>
      <c r="M170" s="10">
        <v>0.61333333333333295</v>
      </c>
      <c r="N170" s="10">
        <f t="shared" si="28"/>
        <v>-8.4903030303031035E-2</v>
      </c>
      <c r="O170" s="10">
        <v>0.96464696969696995</v>
      </c>
      <c r="P170" s="10">
        <v>0.95333999999999997</v>
      </c>
      <c r="Q170" s="10">
        <f t="shared" si="29"/>
        <v>-1.1306969696969982E-2</v>
      </c>
    </row>
    <row r="171" spans="1:17">
      <c r="A171" s="3">
        <v>163</v>
      </c>
      <c r="B171" s="3" t="s">
        <v>112</v>
      </c>
      <c r="C171" s="3" t="s">
        <v>33</v>
      </c>
      <c r="D171" s="4" t="s">
        <v>221</v>
      </c>
      <c r="E171" s="5">
        <v>107.1</v>
      </c>
      <c r="F171" s="5">
        <v>118.8</v>
      </c>
      <c r="G171" s="5">
        <f t="shared" si="25"/>
        <v>11.700000000000003</v>
      </c>
      <c r="H171" s="6">
        <f t="shared" si="26"/>
        <v>0.10924369747899162</v>
      </c>
      <c r="I171" s="6">
        <v>0.88619444444444395</v>
      </c>
      <c r="J171" s="6">
        <v>0.89388666666666705</v>
      </c>
      <c r="K171" s="6">
        <f t="shared" si="27"/>
        <v>7.6922222222230996E-3</v>
      </c>
      <c r="L171" s="6">
        <v>0.57626212121212095</v>
      </c>
      <c r="M171" s="6">
        <v>0.64998666666666705</v>
      </c>
      <c r="N171" s="6">
        <f t="shared" si="28"/>
        <v>7.3724545454546098E-2</v>
      </c>
      <c r="O171" s="6">
        <v>0.98914090909090902</v>
      </c>
      <c r="P171" s="6">
        <v>0.97555333333333305</v>
      </c>
      <c r="Q171" s="6">
        <f t="shared" si="29"/>
        <v>-1.3587575757575965E-2</v>
      </c>
    </row>
    <row r="172" spans="1:17">
      <c r="A172" s="7">
        <v>164</v>
      </c>
      <c r="B172" s="7" t="s">
        <v>112</v>
      </c>
      <c r="C172" s="7" t="s">
        <v>33</v>
      </c>
      <c r="D172" s="8" t="s">
        <v>222</v>
      </c>
      <c r="E172" s="9">
        <v>100.6</v>
      </c>
      <c r="F172" s="9">
        <v>110</v>
      </c>
      <c r="G172" s="9">
        <f t="shared" si="25"/>
        <v>9.4000000000000057</v>
      </c>
      <c r="H172" s="10">
        <f t="shared" si="26"/>
        <v>9.3439363817097471E-2</v>
      </c>
      <c r="I172" s="10">
        <v>0.82811414141414197</v>
      </c>
      <c r="J172" s="10">
        <v>0.77222222222222203</v>
      </c>
      <c r="K172" s="10">
        <f t="shared" si="27"/>
        <v>-5.5891919191919937E-2</v>
      </c>
      <c r="L172" s="10">
        <v>0.86287727272727299</v>
      </c>
      <c r="M172" s="10">
        <v>0.52667333333333299</v>
      </c>
      <c r="N172" s="10">
        <f t="shared" si="28"/>
        <v>-0.33620393939394</v>
      </c>
      <c r="O172" s="10">
        <v>0.81818181818181801</v>
      </c>
      <c r="P172" s="10">
        <v>0.92888000000000004</v>
      </c>
      <c r="Q172" s="10">
        <f t="shared" si="29"/>
        <v>0.11069818181818203</v>
      </c>
    </row>
    <row r="173" spans="1:17">
      <c r="A173" s="3">
        <v>165</v>
      </c>
      <c r="B173" s="3" t="s">
        <v>112</v>
      </c>
      <c r="C173" s="3" t="s">
        <v>37</v>
      </c>
      <c r="D173" s="4" t="s">
        <v>223</v>
      </c>
      <c r="E173" s="5">
        <v>104.3</v>
      </c>
      <c r="F173" s="5">
        <v>113.4</v>
      </c>
      <c r="G173" s="5">
        <f t="shared" si="25"/>
        <v>9.1000000000000085</v>
      </c>
      <c r="H173" s="6">
        <f t="shared" si="26"/>
        <v>8.7248322147651089E-2</v>
      </c>
      <c r="I173" s="6">
        <v>0.84574924242424199</v>
      </c>
      <c r="J173" s="6">
        <v>0.79259555555555605</v>
      </c>
      <c r="K173" s="6">
        <f t="shared" si="27"/>
        <v>-5.3153686868685934E-2</v>
      </c>
      <c r="L173" s="6">
        <v>0.95202121212121205</v>
      </c>
      <c r="M173" s="6">
        <v>0.97333333333333305</v>
      </c>
      <c r="N173" s="6">
        <f t="shared" si="28"/>
        <v>2.1312121212121005E-2</v>
      </c>
      <c r="O173" s="6">
        <v>0.83686969696969704</v>
      </c>
      <c r="P173" s="6">
        <v>0.74</v>
      </c>
      <c r="Q173" s="6">
        <f t="shared" si="29"/>
        <v>-9.686969696969705E-2</v>
      </c>
    </row>
    <row r="174" spans="1:17">
      <c r="A174" s="7">
        <v>166</v>
      </c>
      <c r="B174" s="7" t="s">
        <v>112</v>
      </c>
      <c r="C174" s="7" t="s">
        <v>40</v>
      </c>
      <c r="D174" s="8" t="s">
        <v>224</v>
      </c>
      <c r="E174" s="9">
        <v>170.4</v>
      </c>
      <c r="F174" s="9">
        <v>176.6</v>
      </c>
      <c r="G174" s="9">
        <f t="shared" si="25"/>
        <v>6.1999999999999886</v>
      </c>
      <c r="H174" s="10">
        <f t="shared" si="26"/>
        <v>3.6384976525821532E-2</v>
      </c>
      <c r="I174" s="10">
        <v>0.87491515151515198</v>
      </c>
      <c r="J174" s="10">
        <v>0.977037777777778</v>
      </c>
      <c r="K174" s="10">
        <f t="shared" si="27"/>
        <v>0.10212262626262603</v>
      </c>
      <c r="L174" s="10">
        <v>0.99798030303030305</v>
      </c>
      <c r="M174" s="10">
        <v>1</v>
      </c>
      <c r="N174" s="10">
        <f t="shared" si="28"/>
        <v>2.0196969696969491E-3</v>
      </c>
      <c r="O174" s="10">
        <v>0.77524545454545501</v>
      </c>
      <c r="P174" s="10">
        <v>0.96221999999999996</v>
      </c>
      <c r="Q174" s="10">
        <f t="shared" si="29"/>
        <v>0.18697454545454495</v>
      </c>
    </row>
    <row r="175" spans="1:17">
      <c r="A175" s="3">
        <v>167</v>
      </c>
      <c r="B175" s="3" t="s">
        <v>112</v>
      </c>
      <c r="C175" s="3" t="s">
        <v>36</v>
      </c>
      <c r="D175" s="4" t="s">
        <v>225</v>
      </c>
      <c r="E175" s="5">
        <v>153</v>
      </c>
      <c r="F175" s="5">
        <v>158.6</v>
      </c>
      <c r="G175" s="5">
        <f t="shared" si="25"/>
        <v>5.5999999999999943</v>
      </c>
      <c r="H175" s="6">
        <f t="shared" si="26"/>
        <v>3.6601307189542444E-2</v>
      </c>
      <c r="I175" s="6">
        <v>0.89360353535353498</v>
      </c>
      <c r="J175" s="6">
        <v>0.88092555555555596</v>
      </c>
      <c r="K175" s="6">
        <f t="shared" si="27"/>
        <v>-1.2677979797979022E-2</v>
      </c>
      <c r="L175" s="6">
        <v>0.79848484848484902</v>
      </c>
      <c r="M175" s="6">
        <v>0.72111333333333305</v>
      </c>
      <c r="N175" s="6">
        <f t="shared" si="28"/>
        <v>-7.7371515151515968E-2</v>
      </c>
      <c r="O175" s="6">
        <v>0.99924242424242404</v>
      </c>
      <c r="P175" s="6">
        <v>0.99666666666666703</v>
      </c>
      <c r="Q175" s="6">
        <f t="shared" si="29"/>
        <v>-2.5757575757570095E-3</v>
      </c>
    </row>
    <row r="176" spans="1:17">
      <c r="A176" s="7">
        <v>168</v>
      </c>
      <c r="B176" s="7" t="s">
        <v>112</v>
      </c>
      <c r="C176" s="7" t="s">
        <v>33</v>
      </c>
      <c r="D176" s="8" t="s">
        <v>226</v>
      </c>
      <c r="E176" s="9">
        <v>186.4</v>
      </c>
      <c r="F176" s="9">
        <v>191.8</v>
      </c>
      <c r="G176" s="9">
        <f t="shared" si="25"/>
        <v>5.4000000000000057</v>
      </c>
      <c r="H176" s="10">
        <f t="shared" si="26"/>
        <v>2.8969957081545095E-2</v>
      </c>
      <c r="I176" s="10">
        <v>0.85370202020202002</v>
      </c>
      <c r="J176" s="10">
        <v>0.92759222222222204</v>
      </c>
      <c r="K176" s="10">
        <f t="shared" si="27"/>
        <v>7.3890202020202023E-2</v>
      </c>
      <c r="L176" s="10">
        <v>0.99065606060606104</v>
      </c>
      <c r="M176" s="10">
        <v>0.97111333333333305</v>
      </c>
      <c r="N176" s="10">
        <f t="shared" si="28"/>
        <v>-1.9542727272727989E-2</v>
      </c>
      <c r="O176" s="10">
        <v>0.79999393939393904</v>
      </c>
      <c r="P176" s="10">
        <v>1</v>
      </c>
      <c r="Q176" s="10">
        <f t="shared" si="29"/>
        <v>0.20000606060606096</v>
      </c>
    </row>
    <row r="177" spans="1:17">
      <c r="A177" s="3">
        <v>169</v>
      </c>
      <c r="B177" s="3" t="s">
        <v>112</v>
      </c>
      <c r="C177" s="3" t="s">
        <v>44</v>
      </c>
      <c r="D177" s="4" t="s">
        <v>227</v>
      </c>
      <c r="E177" s="5">
        <v>101.2</v>
      </c>
      <c r="F177" s="5">
        <v>103.8</v>
      </c>
      <c r="G177" s="5">
        <f t="shared" si="25"/>
        <v>2.5999999999999943</v>
      </c>
      <c r="H177" s="6">
        <f t="shared" si="26"/>
        <v>2.5691699604743025E-2</v>
      </c>
      <c r="I177" s="6">
        <v>0.86620252525252495</v>
      </c>
      <c r="J177" s="6">
        <v>0.82537222222222195</v>
      </c>
      <c r="K177" s="6">
        <f t="shared" si="27"/>
        <v>-4.0830303030302995E-2</v>
      </c>
      <c r="L177" s="6">
        <v>0.87297878787878802</v>
      </c>
      <c r="M177" s="6">
        <v>0.71333999999999997</v>
      </c>
      <c r="N177" s="6">
        <f t="shared" si="28"/>
        <v>-0.15963878787878805</v>
      </c>
      <c r="O177" s="6">
        <v>0.66716818181818205</v>
      </c>
      <c r="P177" s="6">
        <v>0.87444666666666704</v>
      </c>
      <c r="Q177" s="6">
        <f t="shared" si="29"/>
        <v>0.20727848484848499</v>
      </c>
    </row>
    <row r="178" spans="1:17">
      <c r="A178" s="7">
        <v>170</v>
      </c>
      <c r="B178" s="7" t="s">
        <v>112</v>
      </c>
      <c r="C178" s="7" t="s">
        <v>33</v>
      </c>
      <c r="D178" s="8" t="s">
        <v>228</v>
      </c>
      <c r="E178" s="9">
        <v>131</v>
      </c>
      <c r="F178" s="9">
        <v>132.6</v>
      </c>
      <c r="G178" s="9">
        <f t="shared" si="25"/>
        <v>1.5999999999999943</v>
      </c>
      <c r="H178" s="10">
        <f t="shared" si="26"/>
        <v>1.2213740458015224E-2</v>
      </c>
      <c r="I178" s="10">
        <v>0.84654898989898997</v>
      </c>
      <c r="J178" s="10">
        <v>0.81721888888888905</v>
      </c>
      <c r="K178" s="10">
        <f t="shared" si="27"/>
        <v>-2.9330101010100917E-2</v>
      </c>
      <c r="L178" s="10">
        <v>0.99495</v>
      </c>
      <c r="M178" s="10">
        <v>0.81666666666666698</v>
      </c>
      <c r="N178" s="10">
        <f t="shared" si="28"/>
        <v>-0.17828333333333302</v>
      </c>
      <c r="O178" s="10">
        <v>0.57827878787878795</v>
      </c>
      <c r="P178" s="10">
        <v>0.911113333333333</v>
      </c>
      <c r="Q178" s="10">
        <f t="shared" si="29"/>
        <v>0.33283454545454505</v>
      </c>
    </row>
    <row r="179" spans="1:17">
      <c r="A179" s="3">
        <v>171</v>
      </c>
      <c r="B179" s="3" t="s">
        <v>112</v>
      </c>
      <c r="C179" s="3" t="s">
        <v>39</v>
      </c>
      <c r="D179" s="4" t="s">
        <v>229</v>
      </c>
      <c r="E179" s="5">
        <v>157.5</v>
      </c>
      <c r="F179" s="5">
        <v>158.19999999999999</v>
      </c>
      <c r="G179" s="5">
        <f t="shared" si="25"/>
        <v>0.69999999999998863</v>
      </c>
      <c r="H179" s="6">
        <f t="shared" si="26"/>
        <v>4.4444444444443724E-3</v>
      </c>
      <c r="I179" s="6">
        <v>0.81287727272727295</v>
      </c>
      <c r="J179" s="6">
        <v>0.82814444444444502</v>
      </c>
      <c r="K179" s="6">
        <f t="shared" si="27"/>
        <v>1.5267171717172068E-2</v>
      </c>
      <c r="L179" s="6">
        <v>0.99166666666666703</v>
      </c>
      <c r="M179" s="6">
        <v>0.97888666666666702</v>
      </c>
      <c r="N179" s="6">
        <f t="shared" si="28"/>
        <v>-1.2780000000000014E-2</v>
      </c>
      <c r="O179" s="6">
        <v>0.61818030303030302</v>
      </c>
      <c r="P179" s="6">
        <v>0.68554666666666697</v>
      </c>
      <c r="Q179" s="6">
        <f t="shared" si="29"/>
        <v>6.7366363636363946E-2</v>
      </c>
    </row>
    <row r="180" spans="1:17">
      <c r="A180" s="7">
        <v>172</v>
      </c>
      <c r="B180" s="7" t="s">
        <v>112</v>
      </c>
      <c r="C180" s="7" t="s">
        <v>33</v>
      </c>
      <c r="D180" s="8" t="s">
        <v>230</v>
      </c>
      <c r="E180" s="9">
        <v>210.1</v>
      </c>
      <c r="F180" s="9">
        <v>210.6</v>
      </c>
      <c r="G180" s="9">
        <f t="shared" si="25"/>
        <v>0.5</v>
      </c>
      <c r="H180" s="10">
        <f t="shared" si="26"/>
        <v>2.3798191337458352E-3</v>
      </c>
      <c r="I180" s="10">
        <v>0.89023535353535299</v>
      </c>
      <c r="J180" s="10">
        <v>0.81203888888888898</v>
      </c>
      <c r="K180" s="10">
        <f t="shared" si="27"/>
        <v>-7.8196464646464015E-2</v>
      </c>
      <c r="L180" s="10">
        <v>1</v>
      </c>
      <c r="M180" s="10">
        <v>1</v>
      </c>
      <c r="N180" s="10">
        <f t="shared" si="28"/>
        <v>0</v>
      </c>
      <c r="O180" s="10">
        <v>0.824242424242424</v>
      </c>
      <c r="P180" s="10">
        <v>0.77444000000000002</v>
      </c>
      <c r="Q180" s="10">
        <f t="shared" si="29"/>
        <v>-4.9802424242423982E-2</v>
      </c>
    </row>
    <row r="181" spans="1:17">
      <c r="A181" s="3">
        <v>173</v>
      </c>
      <c r="B181" s="3" t="s">
        <v>112</v>
      </c>
      <c r="C181" s="3" t="s">
        <v>33</v>
      </c>
      <c r="D181" s="4" t="s">
        <v>231</v>
      </c>
      <c r="E181" s="5">
        <v>258.10000000000002</v>
      </c>
      <c r="F181" s="5">
        <v>258.39999999999998</v>
      </c>
      <c r="G181" s="5">
        <f t="shared" si="25"/>
        <v>0.29999999999995453</v>
      </c>
      <c r="H181" s="6">
        <f t="shared" si="26"/>
        <v>1.1623401782253177E-3</v>
      </c>
      <c r="I181" s="6">
        <v>0.89217171717171695</v>
      </c>
      <c r="J181" s="6">
        <v>0.91555666666666702</v>
      </c>
      <c r="K181" s="6">
        <f t="shared" si="27"/>
        <v>2.3384949494950069E-2</v>
      </c>
      <c r="L181" s="6">
        <v>0.65833030303030304</v>
      </c>
      <c r="M181" s="6">
        <v>0.69222666666666699</v>
      </c>
      <c r="N181" s="6">
        <f t="shared" si="28"/>
        <v>3.3896363636363946E-2</v>
      </c>
      <c r="O181" s="6">
        <v>1</v>
      </c>
      <c r="P181" s="6">
        <v>0.99444666666666703</v>
      </c>
      <c r="Q181" s="6">
        <f t="shared" si="29"/>
        <v>-5.553333333332966E-3</v>
      </c>
    </row>
    <row r="182" spans="1:17">
      <c r="A182" s="7">
        <v>174</v>
      </c>
      <c r="B182" s="7" t="s">
        <v>112</v>
      </c>
      <c r="C182" s="7" t="s">
        <v>38</v>
      </c>
      <c r="D182" s="8" t="s">
        <v>232</v>
      </c>
      <c r="E182" s="9">
        <v>108.7</v>
      </c>
      <c r="F182" s="9">
        <v>107.6</v>
      </c>
      <c r="G182" s="9">
        <f t="shared" si="25"/>
        <v>-1.1000000000000085</v>
      </c>
      <c r="H182" s="10">
        <f t="shared" si="26"/>
        <v>-1.011959521619143E-2</v>
      </c>
      <c r="I182" s="10">
        <v>0.86839318181818204</v>
      </c>
      <c r="J182" s="10">
        <v>0.83222333333333298</v>
      </c>
      <c r="K182" s="10">
        <f t="shared" si="27"/>
        <v>-3.6169848484849054E-2</v>
      </c>
      <c r="L182" s="10">
        <v>0.91338787878787897</v>
      </c>
      <c r="M182" s="10">
        <v>0.59888666666666701</v>
      </c>
      <c r="N182" s="10">
        <f t="shared" si="28"/>
        <v>-0.31450121212121196</v>
      </c>
      <c r="O182" s="10">
        <v>0.87701818181818203</v>
      </c>
      <c r="P182" s="10">
        <v>0.97555999999999998</v>
      </c>
      <c r="Q182" s="10">
        <f t="shared" si="29"/>
        <v>9.8541818181817953E-2</v>
      </c>
    </row>
    <row r="183" spans="1:17">
      <c r="A183" s="3">
        <v>175</v>
      </c>
      <c r="B183" s="3" t="s">
        <v>112</v>
      </c>
      <c r="C183" s="3" t="s">
        <v>33</v>
      </c>
      <c r="D183" s="4" t="s">
        <v>233</v>
      </c>
      <c r="E183" s="5">
        <v>164</v>
      </c>
      <c r="F183" s="5">
        <v>162.19999999999999</v>
      </c>
      <c r="G183" s="5">
        <f t="shared" si="25"/>
        <v>-1.8000000000000114</v>
      </c>
      <c r="H183" s="6">
        <f t="shared" si="26"/>
        <v>-1.097560975609763E-2</v>
      </c>
      <c r="I183" s="6">
        <v>0.86270858585858601</v>
      </c>
      <c r="J183" s="6">
        <v>0.88259333333333301</v>
      </c>
      <c r="K183" s="6">
        <f t="shared" si="27"/>
        <v>1.9884747474747E-2</v>
      </c>
      <c r="L183" s="6">
        <v>0.81666818181818202</v>
      </c>
      <c r="M183" s="6">
        <v>0.73443999999999998</v>
      </c>
      <c r="N183" s="6">
        <f t="shared" si="28"/>
        <v>-8.2228181818182033E-2</v>
      </c>
      <c r="O183" s="6">
        <v>0.96110757575757599</v>
      </c>
      <c r="P183" s="6">
        <v>1</v>
      </c>
      <c r="Q183" s="6">
        <f t="shared" si="29"/>
        <v>3.8892424242424006E-2</v>
      </c>
    </row>
    <row r="184" spans="1:17">
      <c r="A184" s="7">
        <v>176</v>
      </c>
      <c r="B184" s="7" t="s">
        <v>112</v>
      </c>
      <c r="C184" s="7" t="s">
        <v>33</v>
      </c>
      <c r="D184" s="8" t="s">
        <v>234</v>
      </c>
      <c r="E184" s="9">
        <v>137</v>
      </c>
      <c r="F184" s="9">
        <v>135</v>
      </c>
      <c r="G184" s="9">
        <f t="shared" si="25"/>
        <v>-2</v>
      </c>
      <c r="H184" s="10">
        <f t="shared" si="26"/>
        <v>-1.4598540145985401E-2</v>
      </c>
      <c r="I184" s="10">
        <v>0.88379722222222201</v>
      </c>
      <c r="J184" s="10">
        <v>0.88296111111111097</v>
      </c>
      <c r="K184" s="10">
        <f t="shared" si="27"/>
        <v>-8.3611111111103753E-4</v>
      </c>
      <c r="L184" s="10">
        <v>0.71616060606060605</v>
      </c>
      <c r="M184" s="10">
        <v>0.89</v>
      </c>
      <c r="N184" s="10">
        <f t="shared" si="28"/>
        <v>0.17383939393939396</v>
      </c>
      <c r="O184" s="10">
        <v>0.95504999999999995</v>
      </c>
      <c r="P184" s="10">
        <v>0.98221999999999998</v>
      </c>
      <c r="Q184" s="10">
        <f t="shared" si="29"/>
        <v>2.7170000000000027E-2</v>
      </c>
    </row>
    <row r="185" spans="1:17">
      <c r="A185" s="3">
        <v>177</v>
      </c>
      <c r="B185" s="3" t="s">
        <v>112</v>
      </c>
      <c r="C185" s="3" t="s">
        <v>33</v>
      </c>
      <c r="D185" s="4" t="s">
        <v>235</v>
      </c>
      <c r="E185" s="5">
        <v>143.30000000000001</v>
      </c>
      <c r="F185" s="5">
        <v>140.19999999999999</v>
      </c>
      <c r="G185" s="5">
        <f t="shared" si="25"/>
        <v>-3.1000000000000227</v>
      </c>
      <c r="H185" s="6">
        <f t="shared" si="26"/>
        <v>-2.1632937892533306E-2</v>
      </c>
      <c r="I185" s="6">
        <v>0.87773484848484795</v>
      </c>
      <c r="J185" s="6">
        <v>0.762405555555555</v>
      </c>
      <c r="K185" s="6">
        <f t="shared" si="27"/>
        <v>-0.11532929292929295</v>
      </c>
      <c r="L185" s="6">
        <v>0.88787575757575798</v>
      </c>
      <c r="M185" s="6">
        <v>0.5</v>
      </c>
      <c r="N185" s="6">
        <f t="shared" si="28"/>
        <v>-0.38787575757575798</v>
      </c>
      <c r="O185" s="6">
        <v>0.95050606060606102</v>
      </c>
      <c r="P185" s="6">
        <v>0.92222000000000004</v>
      </c>
      <c r="Q185" s="6">
        <f t="shared" si="29"/>
        <v>-2.8286060606060981E-2</v>
      </c>
    </row>
    <row r="186" spans="1:17">
      <c r="A186" s="7">
        <v>178</v>
      </c>
      <c r="B186" s="7" t="s">
        <v>112</v>
      </c>
      <c r="C186" s="7" t="s">
        <v>33</v>
      </c>
      <c r="D186" s="8" t="s">
        <v>236</v>
      </c>
      <c r="E186" s="9">
        <v>143.1</v>
      </c>
      <c r="F186" s="9">
        <v>139.4</v>
      </c>
      <c r="G186" s="9">
        <f t="shared" si="25"/>
        <v>-3.6999999999999886</v>
      </c>
      <c r="H186" s="10">
        <f t="shared" si="26"/>
        <v>-2.5856044723969174E-2</v>
      </c>
      <c r="I186" s="10">
        <v>0.80736515151515198</v>
      </c>
      <c r="J186" s="10">
        <v>0.79425777777777795</v>
      </c>
      <c r="K186" s="10">
        <f t="shared" si="27"/>
        <v>-1.3107373737374028E-2</v>
      </c>
      <c r="L186" s="10">
        <v>1</v>
      </c>
      <c r="M186" s="10">
        <v>1</v>
      </c>
      <c r="N186" s="10">
        <f t="shared" si="28"/>
        <v>0</v>
      </c>
      <c r="O186" s="10">
        <v>0.78257424242424201</v>
      </c>
      <c r="P186" s="10">
        <v>0.67555333333333401</v>
      </c>
      <c r="Q186" s="10">
        <f t="shared" si="29"/>
        <v>-0.107020909090908</v>
      </c>
    </row>
    <row r="187" spans="1:17">
      <c r="A187" s="3">
        <v>179</v>
      </c>
      <c r="B187" s="3" t="s">
        <v>112</v>
      </c>
      <c r="C187" s="3" t="s">
        <v>33</v>
      </c>
      <c r="D187" s="4" t="s">
        <v>237</v>
      </c>
      <c r="E187" s="5">
        <v>268.5</v>
      </c>
      <c r="F187" s="5">
        <v>257.60000000000002</v>
      </c>
      <c r="G187" s="5">
        <f t="shared" si="25"/>
        <v>-10.899999999999977</v>
      </c>
      <c r="H187" s="6">
        <f t="shared" si="26"/>
        <v>-4.0595903165735484E-2</v>
      </c>
      <c r="I187" s="6">
        <v>0.85277651515151498</v>
      </c>
      <c r="J187" s="6">
        <v>0.83389222222222203</v>
      </c>
      <c r="K187" s="6">
        <f t="shared" si="27"/>
        <v>-1.8884292929292945E-2</v>
      </c>
      <c r="L187" s="6">
        <v>0.99823181818181805</v>
      </c>
      <c r="M187" s="6">
        <v>1</v>
      </c>
      <c r="N187" s="6">
        <f t="shared" si="28"/>
        <v>1.7681818181819464E-3</v>
      </c>
      <c r="O187" s="6">
        <v>0.80884393939393995</v>
      </c>
      <c r="P187" s="6">
        <v>0.73778666666666703</v>
      </c>
      <c r="Q187" s="6">
        <f t="shared" si="29"/>
        <v>-7.1057272727272913E-2</v>
      </c>
    </row>
    <row r="188" spans="1:17">
      <c r="A188" s="7">
        <v>180</v>
      </c>
      <c r="B188" s="7" t="s">
        <v>112</v>
      </c>
      <c r="C188" s="7" t="s">
        <v>36</v>
      </c>
      <c r="D188" s="8" t="s">
        <v>238</v>
      </c>
      <c r="E188" s="9">
        <v>136.6</v>
      </c>
      <c r="F188" s="9">
        <v>121.8</v>
      </c>
      <c r="G188" s="9">
        <f t="shared" si="25"/>
        <v>-14.799999999999997</v>
      </c>
      <c r="H188" s="10">
        <f t="shared" si="26"/>
        <v>-0.10834553440702781</v>
      </c>
      <c r="I188" s="10">
        <v>0.87828383838383794</v>
      </c>
      <c r="J188" s="10">
        <v>0.755558888888889</v>
      </c>
      <c r="K188" s="10">
        <f t="shared" si="27"/>
        <v>-0.12272494949494894</v>
      </c>
      <c r="L188" s="10">
        <v>0.90101212121212104</v>
      </c>
      <c r="M188" s="10">
        <v>0.55555333333333301</v>
      </c>
      <c r="N188" s="10">
        <f t="shared" si="28"/>
        <v>-0.34545878787878803</v>
      </c>
      <c r="O188" s="10">
        <v>0.92954696969697004</v>
      </c>
      <c r="P188" s="10">
        <v>0.90222666666666695</v>
      </c>
      <c r="Q188" s="10">
        <f t="shared" si="29"/>
        <v>-2.7320303030303084E-2</v>
      </c>
    </row>
    <row r="189" spans="1:17">
      <c r="A189" s="3">
        <v>181</v>
      </c>
      <c r="B189" s="3" t="s">
        <v>112</v>
      </c>
      <c r="C189" s="3" t="s">
        <v>38</v>
      </c>
      <c r="D189" s="4" t="s">
        <v>239</v>
      </c>
      <c r="E189" s="5">
        <v>292.60000000000002</v>
      </c>
      <c r="F189" s="5">
        <v>274.39999999999998</v>
      </c>
      <c r="G189" s="5">
        <f t="shared" si="25"/>
        <v>-18.200000000000045</v>
      </c>
      <c r="H189" s="6">
        <f t="shared" si="26"/>
        <v>-6.2200956937799194E-2</v>
      </c>
      <c r="I189" s="6">
        <v>0.87146414141414097</v>
      </c>
      <c r="J189" s="6">
        <v>0.79777666666666702</v>
      </c>
      <c r="K189" s="6">
        <f t="shared" si="27"/>
        <v>-7.3687474747473947E-2</v>
      </c>
      <c r="L189" s="6">
        <v>0.96035303030302999</v>
      </c>
      <c r="M189" s="6">
        <v>0.91888666666666696</v>
      </c>
      <c r="N189" s="6">
        <f t="shared" si="28"/>
        <v>-4.1466363636363024E-2</v>
      </c>
      <c r="O189" s="6">
        <v>0.925506060606061</v>
      </c>
      <c r="P189" s="6">
        <v>0.80666666666666698</v>
      </c>
      <c r="Q189" s="6">
        <f t="shared" si="29"/>
        <v>-0.11883939393939402</v>
      </c>
    </row>
    <row r="190" spans="1:17">
      <c r="A190" s="7">
        <v>182</v>
      </c>
      <c r="B190" s="7" t="s">
        <v>112</v>
      </c>
      <c r="C190" s="7" t="s">
        <v>35</v>
      </c>
      <c r="D190" s="8" t="s">
        <v>240</v>
      </c>
      <c r="E190" s="9">
        <v>357.2</v>
      </c>
      <c r="F190" s="9">
        <v>337.8</v>
      </c>
      <c r="G190" s="9">
        <f t="shared" si="25"/>
        <v>-19.399999999999977</v>
      </c>
      <c r="H190" s="10">
        <f t="shared" si="26"/>
        <v>-5.4311310190369479E-2</v>
      </c>
      <c r="I190" s="10">
        <v>0.87971363636363598</v>
      </c>
      <c r="J190" s="10">
        <v>0.89870333333333297</v>
      </c>
      <c r="K190" s="10">
        <f t="shared" si="27"/>
        <v>1.898969696969699E-2</v>
      </c>
      <c r="L190" s="10">
        <v>1</v>
      </c>
      <c r="M190" s="10">
        <v>1</v>
      </c>
      <c r="N190" s="10">
        <f t="shared" si="28"/>
        <v>0</v>
      </c>
      <c r="O190" s="10">
        <v>0.80025151515151505</v>
      </c>
      <c r="P190" s="10">
        <v>0.88222</v>
      </c>
      <c r="Q190" s="10">
        <f t="shared" si="29"/>
        <v>8.1968484848484957E-2</v>
      </c>
    </row>
    <row r="191" spans="1:17">
      <c r="A191" s="3">
        <v>183</v>
      </c>
      <c r="B191" s="3" t="s">
        <v>112</v>
      </c>
      <c r="C191" s="3" t="s">
        <v>33</v>
      </c>
      <c r="D191" s="4" t="s">
        <v>241</v>
      </c>
      <c r="E191" s="5">
        <v>137.69999999999999</v>
      </c>
      <c r="F191" s="5">
        <v>117.6</v>
      </c>
      <c r="G191" s="5">
        <f t="shared" si="25"/>
        <v>-20.099999999999994</v>
      </c>
      <c r="H191" s="6">
        <f t="shared" si="26"/>
        <v>-0.14596949891067534</v>
      </c>
      <c r="I191" s="6">
        <v>0.86359469696969704</v>
      </c>
      <c r="J191" s="6">
        <v>0.80888888888888899</v>
      </c>
      <c r="K191" s="6">
        <f t="shared" si="27"/>
        <v>-5.4705808080808049E-2</v>
      </c>
      <c r="L191" s="6">
        <v>0.98888939393939401</v>
      </c>
      <c r="M191" s="6">
        <v>0.94111333333333302</v>
      </c>
      <c r="N191" s="6">
        <f t="shared" si="28"/>
        <v>-4.7776060606060988E-2</v>
      </c>
      <c r="O191" s="6">
        <v>0.89192272727272703</v>
      </c>
      <c r="P191" s="6">
        <v>0.94333333333333302</v>
      </c>
      <c r="Q191" s="6">
        <f t="shared" si="29"/>
        <v>5.141060606060599E-2</v>
      </c>
    </row>
    <row r="192" spans="1:17">
      <c r="A192" s="7">
        <v>184</v>
      </c>
      <c r="B192" s="7" t="s">
        <v>112</v>
      </c>
      <c r="C192" s="7" t="s">
        <v>33</v>
      </c>
      <c r="D192" s="8" t="s">
        <v>242</v>
      </c>
      <c r="E192" s="9">
        <v>495.5</v>
      </c>
      <c r="F192" s="9">
        <v>474</v>
      </c>
      <c r="G192" s="9">
        <f t="shared" si="25"/>
        <v>-21.5</v>
      </c>
      <c r="H192" s="10">
        <f t="shared" si="26"/>
        <v>-4.3390514631685168E-2</v>
      </c>
      <c r="I192" s="10">
        <v>0.86153131313131304</v>
      </c>
      <c r="J192" s="10">
        <v>0.87129777777777795</v>
      </c>
      <c r="K192" s="10">
        <f t="shared" si="27"/>
        <v>9.7664646464649119E-3</v>
      </c>
      <c r="L192" s="10">
        <v>1</v>
      </c>
      <c r="M192" s="10">
        <v>1</v>
      </c>
      <c r="N192" s="10">
        <f t="shared" si="28"/>
        <v>0</v>
      </c>
      <c r="O192" s="10">
        <v>0.83838181818181801</v>
      </c>
      <c r="P192" s="10">
        <v>0.86888666666666703</v>
      </c>
      <c r="Q192" s="10">
        <f t="shared" si="29"/>
        <v>3.0504848484849023E-2</v>
      </c>
    </row>
    <row r="193" spans="1:17">
      <c r="A193" s="3">
        <v>185</v>
      </c>
      <c r="B193" s="3" t="s">
        <v>112</v>
      </c>
      <c r="C193" s="3" t="s">
        <v>33</v>
      </c>
      <c r="D193" s="4" t="s">
        <v>243</v>
      </c>
      <c r="E193" s="5">
        <v>270.7</v>
      </c>
      <c r="F193" s="5">
        <v>245.2</v>
      </c>
      <c r="G193" s="5">
        <f t="shared" si="25"/>
        <v>-25.5</v>
      </c>
      <c r="H193" s="6">
        <f t="shared" si="26"/>
        <v>-9.4200221647580351E-2</v>
      </c>
      <c r="I193" s="6">
        <v>0.87335984848484904</v>
      </c>
      <c r="J193" s="6">
        <v>0.76648777777777799</v>
      </c>
      <c r="K193" s="6">
        <f t="shared" si="27"/>
        <v>-0.10687207070707105</v>
      </c>
      <c r="L193" s="6">
        <v>0.71111212121212097</v>
      </c>
      <c r="M193" s="6">
        <v>0.48667333333333301</v>
      </c>
      <c r="N193" s="6">
        <f t="shared" si="28"/>
        <v>-0.22443878787878796</v>
      </c>
      <c r="O193" s="6">
        <v>0.88182121212121201</v>
      </c>
      <c r="P193" s="6">
        <v>0.88889333333333298</v>
      </c>
      <c r="Q193" s="6">
        <f t="shared" si="29"/>
        <v>7.0721212121209742E-3</v>
      </c>
    </row>
    <row r="194" spans="1:17">
      <c r="A194" s="7">
        <v>186</v>
      </c>
      <c r="B194" s="7" t="s">
        <v>112</v>
      </c>
      <c r="C194" s="7" t="s">
        <v>44</v>
      </c>
      <c r="D194" s="8" t="s">
        <v>244</v>
      </c>
      <c r="E194" s="9">
        <v>115.7</v>
      </c>
      <c r="F194" s="9">
        <v>89.2</v>
      </c>
      <c r="G194" s="9">
        <f t="shared" si="25"/>
        <v>-26.5</v>
      </c>
      <c r="H194" s="10">
        <f t="shared" si="26"/>
        <v>-0.22904062229904926</v>
      </c>
      <c r="I194" s="10">
        <v>0.84747348484848495</v>
      </c>
      <c r="J194" s="10">
        <v>0.88685000000000003</v>
      </c>
      <c r="K194" s="10">
        <f t="shared" si="27"/>
        <v>3.9376515151515079E-2</v>
      </c>
      <c r="L194" s="10">
        <v>0.86110909090909105</v>
      </c>
      <c r="M194" s="10">
        <v>1</v>
      </c>
      <c r="N194" s="10">
        <f t="shared" si="28"/>
        <v>0.13889090909090895</v>
      </c>
      <c r="O194" s="10">
        <v>0.73459393939393902</v>
      </c>
      <c r="P194" s="10">
        <v>0.82332666666666698</v>
      </c>
      <c r="Q194" s="10">
        <f t="shared" si="29"/>
        <v>8.8732727272727963E-2</v>
      </c>
    </row>
    <row r="195" spans="1:17">
      <c r="A195" s="3">
        <v>187</v>
      </c>
      <c r="B195" s="3" t="s">
        <v>112</v>
      </c>
      <c r="C195" s="3" t="s">
        <v>38</v>
      </c>
      <c r="D195" s="4" t="s">
        <v>245</v>
      </c>
      <c r="E195" s="5">
        <v>106.8</v>
      </c>
      <c r="F195" s="5">
        <v>76.599999999999994</v>
      </c>
      <c r="G195" s="5">
        <f t="shared" si="25"/>
        <v>-30.200000000000003</v>
      </c>
      <c r="H195" s="6">
        <f t="shared" si="26"/>
        <v>-0.28277153558052437</v>
      </c>
      <c r="I195" s="6">
        <v>0.74423308080808104</v>
      </c>
      <c r="J195" s="6">
        <v>0.53962444444444502</v>
      </c>
      <c r="K195" s="6">
        <f t="shared" si="27"/>
        <v>-0.20460863636363602</v>
      </c>
      <c r="L195" s="6">
        <v>0.65050606060606098</v>
      </c>
      <c r="M195" s="6">
        <v>0.22666666666666699</v>
      </c>
      <c r="N195" s="6">
        <f t="shared" si="28"/>
        <v>-0.42383939393939396</v>
      </c>
      <c r="O195" s="6">
        <v>0.92575909090909103</v>
      </c>
      <c r="P195" s="6">
        <v>0.80888666666666698</v>
      </c>
      <c r="Q195" s="6">
        <f t="shared" si="29"/>
        <v>-0.11687242424242406</v>
      </c>
    </row>
    <row r="196" spans="1:17">
      <c r="A196" s="7">
        <v>188</v>
      </c>
      <c r="B196" s="7" t="s">
        <v>112</v>
      </c>
      <c r="C196" s="7" t="s">
        <v>33</v>
      </c>
      <c r="D196" s="8" t="s">
        <v>246</v>
      </c>
      <c r="E196" s="9">
        <v>170.5</v>
      </c>
      <c r="F196" s="9">
        <v>133.4</v>
      </c>
      <c r="G196" s="9">
        <f t="shared" si="25"/>
        <v>-37.099999999999994</v>
      </c>
      <c r="H196" s="10">
        <f t="shared" si="26"/>
        <v>-0.21759530791788853</v>
      </c>
      <c r="I196" s="10">
        <v>0.79941085858585903</v>
      </c>
      <c r="J196" s="10">
        <v>0.79185222222222196</v>
      </c>
      <c r="K196" s="10">
        <f t="shared" si="27"/>
        <v>-7.5586363636370724E-3</v>
      </c>
      <c r="L196" s="10">
        <v>1</v>
      </c>
      <c r="M196" s="10">
        <v>1</v>
      </c>
      <c r="N196" s="10">
        <f t="shared" si="28"/>
        <v>0</v>
      </c>
      <c r="O196" s="10">
        <v>0.82398939393939397</v>
      </c>
      <c r="P196" s="10">
        <v>0.82554666666666698</v>
      </c>
      <c r="Q196" s="10">
        <f t="shared" si="29"/>
        <v>1.557272727273018E-3</v>
      </c>
    </row>
    <row r="197" spans="1:17">
      <c r="A197" s="3">
        <v>189</v>
      </c>
      <c r="B197" s="3" t="s">
        <v>112</v>
      </c>
      <c r="C197" s="3" t="s">
        <v>38</v>
      </c>
      <c r="D197" s="4" t="s">
        <v>247</v>
      </c>
      <c r="E197" s="5">
        <v>362.6</v>
      </c>
      <c r="F197" s="5">
        <v>323.60000000000002</v>
      </c>
      <c r="G197" s="5">
        <f t="shared" si="25"/>
        <v>-39</v>
      </c>
      <c r="H197" s="6">
        <f t="shared" si="26"/>
        <v>-0.10755653612796469</v>
      </c>
      <c r="I197" s="6">
        <v>0.89482373737373699</v>
      </c>
      <c r="J197" s="6">
        <v>0.895184444444445</v>
      </c>
      <c r="K197" s="6">
        <f t="shared" si="27"/>
        <v>3.6070707070801067E-4</v>
      </c>
      <c r="L197" s="6">
        <v>1</v>
      </c>
      <c r="M197" s="6">
        <v>1</v>
      </c>
      <c r="N197" s="6">
        <f t="shared" si="28"/>
        <v>0</v>
      </c>
      <c r="O197" s="6">
        <v>0.96590909090909105</v>
      </c>
      <c r="P197" s="6">
        <v>0.93555333333333301</v>
      </c>
      <c r="Q197" s="6">
        <f t="shared" si="29"/>
        <v>-3.0355757575758036E-2</v>
      </c>
    </row>
    <row r="198" spans="1:17">
      <c r="A198" s="7">
        <v>190</v>
      </c>
      <c r="B198" s="7" t="s">
        <v>112</v>
      </c>
      <c r="C198" s="7" t="s">
        <v>33</v>
      </c>
      <c r="D198" s="8" t="s">
        <v>248</v>
      </c>
      <c r="E198" s="9">
        <v>403.6</v>
      </c>
      <c r="F198" s="9">
        <v>355.2</v>
      </c>
      <c r="G198" s="9">
        <f t="shared" si="25"/>
        <v>-48.400000000000034</v>
      </c>
      <c r="H198" s="10">
        <f t="shared" si="26"/>
        <v>-0.11992071357779988</v>
      </c>
      <c r="I198" s="10">
        <v>0.86519267676767697</v>
      </c>
      <c r="J198" s="10">
        <v>0.78648222222222197</v>
      </c>
      <c r="K198" s="10">
        <f t="shared" si="27"/>
        <v>-7.8710454545455E-2</v>
      </c>
      <c r="L198" s="10">
        <v>0.95075757575757602</v>
      </c>
      <c r="M198" s="10">
        <v>0.69111333333333302</v>
      </c>
      <c r="N198" s="10">
        <f t="shared" si="28"/>
        <v>-0.259644242424243</v>
      </c>
      <c r="O198" s="10">
        <v>0.85151363636363697</v>
      </c>
      <c r="P198" s="10">
        <v>0.82221333333333302</v>
      </c>
      <c r="Q198" s="10">
        <f t="shared" si="29"/>
        <v>-2.9300303030303954E-2</v>
      </c>
    </row>
    <row r="199" spans="1:17">
      <c r="A199" s="3">
        <v>191</v>
      </c>
      <c r="B199" s="3" t="s">
        <v>112</v>
      </c>
      <c r="C199" s="3" t="s">
        <v>46</v>
      </c>
      <c r="D199" s="4" t="s">
        <v>249</v>
      </c>
      <c r="E199" s="5">
        <v>278.89999999999998</v>
      </c>
      <c r="F199" s="5"/>
      <c r="G199" s="5" t="str">
        <f t="shared" si="25"/>
        <v/>
      </c>
      <c r="H199" s="6" t="str">
        <f t="shared" si="26"/>
        <v/>
      </c>
      <c r="I199" s="6">
        <v>0.89019419191919202</v>
      </c>
      <c r="J199" s="6"/>
      <c r="K199" s="6" t="str">
        <f t="shared" si="27"/>
        <v/>
      </c>
      <c r="L199" s="6">
        <v>1</v>
      </c>
      <c r="M199" s="6"/>
      <c r="N199" s="6" t="str">
        <f t="shared" si="28"/>
        <v/>
      </c>
      <c r="O199" s="6">
        <v>0.92096060606060604</v>
      </c>
      <c r="P199" s="6"/>
      <c r="Q199" s="6" t="str">
        <f t="shared" si="29"/>
        <v/>
      </c>
    </row>
    <row r="200" spans="1:17">
      <c r="A200" s="21" t="s">
        <v>265</v>
      </c>
      <c r="B200" s="21"/>
      <c r="C200" s="21"/>
      <c r="D200" s="21"/>
      <c r="E200" s="11">
        <f>SUM(E9:E199)</f>
        <v>47247.69999999999</v>
      </c>
      <c r="F200" s="11">
        <f>SUM(F9:F199)</f>
        <v>54434.000000000044</v>
      </c>
      <c r="G200" s="11">
        <f>F200-E200</f>
        <v>7186.3000000000538</v>
      </c>
      <c r="H200" s="12">
        <f>IFERROR((F200-E200)/E200,"")</f>
        <v>0.15209840902308588</v>
      </c>
      <c r="I200" s="12">
        <f>AVERAGE(I9:I199)</f>
        <v>0.85595347696241775</v>
      </c>
      <c r="J200" s="12">
        <f>AVERAGE(J9:J199)</f>
        <v>0.87288911695906424</v>
      </c>
      <c r="K200" s="12">
        <f>J200-I200</f>
        <v>1.693563999664649E-2</v>
      </c>
      <c r="L200" s="12">
        <f>AVERAGE(L9:L199)</f>
        <v>0.86831502743791489</v>
      </c>
      <c r="M200" s="12">
        <f>AVERAGE(M9:M199)</f>
        <v>0.87307278947368405</v>
      </c>
      <c r="N200" s="12">
        <f>M200-L200</f>
        <v>4.7577620357691641E-3</v>
      </c>
      <c r="O200" s="12">
        <f>AVERAGE(O9:O199)</f>
        <v>0.86241817183227409</v>
      </c>
      <c r="P200" s="12">
        <f>AVERAGE(P9:P199)</f>
        <v>0.90269208771929821</v>
      </c>
      <c r="Q200" s="12">
        <f>P200-O200</f>
        <v>4.0273915887024114E-2</v>
      </c>
    </row>
  </sheetData>
  <mergeCells count="15">
    <mergeCell ref="A1:Q1"/>
    <mergeCell ref="A2:Q2"/>
    <mergeCell ref="A3:Q3"/>
    <mergeCell ref="A4:Q4"/>
    <mergeCell ref="A5:Q5"/>
    <mergeCell ref="A200:D200"/>
    <mergeCell ref="A6:Q6"/>
    <mergeCell ref="A7:A8"/>
    <mergeCell ref="B7:B8"/>
    <mergeCell ref="C7:C8"/>
    <mergeCell ref="D7:D8"/>
    <mergeCell ref="E7:H7"/>
    <mergeCell ref="I7:K7"/>
    <mergeCell ref="L7:N7"/>
    <mergeCell ref="O7:Q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workbookViewId="0"/>
  </sheetViews>
  <sheetFormatPr defaultColWidth="8.5703125" defaultRowHeight="15"/>
  <cols>
    <col min="1" max="1" width="8" customWidth="1"/>
    <col min="2" max="2" width="11" customWidth="1"/>
    <col min="3" max="3" width="6" customWidth="1"/>
    <col min="4" max="16" width="8.42578125" customWidth="1"/>
  </cols>
  <sheetData>
    <row r="1" spans="1:16" s="47" customFormat="1" ht="24" customHeight="1">
      <c r="A1" s="27" t="s">
        <v>253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ht="18" customHeight="1">
      <c r="A2" s="22" t="s">
        <v>13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ht="18" customHeight="1">
      <c r="A3" s="22" t="s">
        <v>254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4" spans="1:16" ht="18" customHeight="1">
      <c r="A4" s="22" t="s">
        <v>14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1:16" s="48" customFormat="1" ht="18" customHeight="1">
      <c r="A5" s="33" t="s">
        <v>4</v>
      </c>
      <c r="B5" s="33" t="s">
        <v>5</v>
      </c>
      <c r="C5" s="33" t="s">
        <v>15</v>
      </c>
      <c r="D5" s="23" t="s">
        <v>16</v>
      </c>
      <c r="E5" s="23"/>
      <c r="F5" s="23"/>
      <c r="G5" s="23"/>
      <c r="H5" s="24" t="s">
        <v>8</v>
      </c>
      <c r="I5" s="24"/>
      <c r="J5" s="24"/>
      <c r="K5" s="25" t="s">
        <v>9</v>
      </c>
      <c r="L5" s="25"/>
      <c r="M5" s="25"/>
      <c r="N5" s="26" t="s">
        <v>10</v>
      </c>
      <c r="O5" s="26"/>
      <c r="P5" s="26"/>
    </row>
    <row r="6" spans="1:16" ht="15" customHeight="1">
      <c r="A6" s="33"/>
      <c r="B6" s="33"/>
      <c r="C6" s="33"/>
      <c r="D6" s="1" t="s">
        <v>263</v>
      </c>
      <c r="E6" s="1" t="s">
        <v>264</v>
      </c>
      <c r="F6" s="1" t="s">
        <v>11</v>
      </c>
      <c r="G6" s="1" t="s">
        <v>12</v>
      </c>
      <c r="H6" s="2" t="s">
        <v>263</v>
      </c>
      <c r="I6" s="2" t="s">
        <v>264</v>
      </c>
      <c r="J6" s="2" t="s">
        <v>11</v>
      </c>
      <c r="K6" s="2" t="s">
        <v>263</v>
      </c>
      <c r="L6" s="2" t="s">
        <v>264</v>
      </c>
      <c r="M6" s="2" t="s">
        <v>11</v>
      </c>
      <c r="N6" s="2" t="s">
        <v>263</v>
      </c>
      <c r="O6" s="2" t="s">
        <v>264</v>
      </c>
      <c r="P6" s="2" t="s">
        <v>11</v>
      </c>
    </row>
    <row r="7" spans="1:16">
      <c r="A7" s="3" t="s">
        <v>57</v>
      </c>
      <c r="B7" s="4" t="s">
        <v>22</v>
      </c>
      <c r="C7" s="3">
        <v>8</v>
      </c>
      <c r="D7" s="5">
        <v>2331.1999999999998</v>
      </c>
      <c r="E7" s="5">
        <v>2921</v>
      </c>
      <c r="F7" s="5">
        <f t="shared" ref="F7:F31" si="0">IF(OR(D7="",E7=""),"",E7-D7)</f>
        <v>589.80000000000018</v>
      </c>
      <c r="G7" s="6">
        <f t="shared" ref="G7:G31" si="1">IF(OR(D7="",E7="",D7=0),"",(E7-D7)/D7)</f>
        <v>0.25300274536719297</v>
      </c>
      <c r="H7" s="6">
        <v>0.87277487373737395</v>
      </c>
      <c r="I7" s="6">
        <v>0.89773180555555598</v>
      </c>
      <c r="J7" s="6">
        <f t="shared" ref="J7:J31" si="2">IF(OR(H7="",I7=""),"",I7-H7)</f>
        <v>2.4956931818182038E-2</v>
      </c>
      <c r="K7" s="6">
        <v>0.94738106060606098</v>
      </c>
      <c r="L7" s="6">
        <v>0.96736</v>
      </c>
      <c r="M7" s="6">
        <f t="shared" ref="M7:M31" si="3">IF(OR(K7="",L7=""),"",L7-K7)</f>
        <v>1.9978939393939021E-2</v>
      </c>
      <c r="N7" s="6">
        <v>0.91092234848484799</v>
      </c>
      <c r="O7" s="6">
        <v>0.89805749999999995</v>
      </c>
      <c r="P7" s="6">
        <f t="shared" ref="P7:P31" si="4">IF(OR(N7="",O7=""),"",O7-N7)</f>
        <v>-1.2864848484848035E-2</v>
      </c>
    </row>
    <row r="8" spans="1:16">
      <c r="A8" s="3" t="s">
        <v>57</v>
      </c>
      <c r="B8" s="4" t="s">
        <v>23</v>
      </c>
      <c r="C8" s="3">
        <v>6</v>
      </c>
      <c r="D8" s="5">
        <v>1963.3</v>
      </c>
      <c r="E8" s="5">
        <v>2413.6</v>
      </c>
      <c r="F8" s="5">
        <f t="shared" si="0"/>
        <v>450.29999999999995</v>
      </c>
      <c r="G8" s="6">
        <f t="shared" si="1"/>
        <v>0.229358732745887</v>
      </c>
      <c r="H8" s="6">
        <v>0.86770467171717203</v>
      </c>
      <c r="I8" s="6">
        <v>0.85481425925925902</v>
      </c>
      <c r="J8" s="6">
        <f t="shared" si="2"/>
        <v>-1.2890412457913003E-2</v>
      </c>
      <c r="K8" s="6">
        <v>0.87781994949495001</v>
      </c>
      <c r="L8" s="6">
        <v>0.84407333333333301</v>
      </c>
      <c r="M8" s="6">
        <f t="shared" si="3"/>
        <v>-3.3746616161617005E-2</v>
      </c>
      <c r="N8" s="6">
        <v>0.92537954545454604</v>
      </c>
      <c r="O8" s="6">
        <v>0.91388555555555595</v>
      </c>
      <c r="P8" s="6">
        <f t="shared" si="4"/>
        <v>-1.1493989898990087E-2</v>
      </c>
    </row>
    <row r="9" spans="1:16">
      <c r="A9" s="3" t="s">
        <v>57</v>
      </c>
      <c r="B9" s="4" t="s">
        <v>31</v>
      </c>
      <c r="C9" s="3">
        <v>3</v>
      </c>
      <c r="D9" s="5">
        <v>1007.1</v>
      </c>
      <c r="E9" s="5">
        <v>1389.2</v>
      </c>
      <c r="F9" s="5">
        <f t="shared" si="0"/>
        <v>382.1</v>
      </c>
      <c r="G9" s="6">
        <f t="shared" si="1"/>
        <v>0.37940621586734191</v>
      </c>
      <c r="H9" s="6">
        <v>0.83528291245791297</v>
      </c>
      <c r="I9" s="6">
        <v>0.870616296296296</v>
      </c>
      <c r="J9" s="6">
        <f t="shared" si="2"/>
        <v>3.5333383838383026E-2</v>
      </c>
      <c r="K9" s="6">
        <v>0.97264242424242398</v>
      </c>
      <c r="L9" s="6">
        <v>0.99</v>
      </c>
      <c r="M9" s="6">
        <f t="shared" si="3"/>
        <v>1.7357575757576016E-2</v>
      </c>
      <c r="N9" s="6">
        <v>0.76237121212121195</v>
      </c>
      <c r="O9" s="6">
        <v>0.82258666666666702</v>
      </c>
      <c r="P9" s="6">
        <f t="shared" si="4"/>
        <v>6.0215454545455072E-2</v>
      </c>
    </row>
    <row r="10" spans="1:16">
      <c r="A10" s="3" t="s">
        <v>57</v>
      </c>
      <c r="B10" s="4" t="s">
        <v>25</v>
      </c>
      <c r="C10" s="3">
        <v>5</v>
      </c>
      <c r="D10" s="5">
        <v>1448.7</v>
      </c>
      <c r="E10" s="5">
        <v>1765.4</v>
      </c>
      <c r="F10" s="5">
        <f t="shared" si="0"/>
        <v>316.70000000000005</v>
      </c>
      <c r="G10" s="6">
        <f t="shared" si="1"/>
        <v>0.21860978808587012</v>
      </c>
      <c r="H10" s="6">
        <v>0.86420787878787897</v>
      </c>
      <c r="I10" s="6">
        <v>0.87051688888888901</v>
      </c>
      <c r="J10" s="6">
        <f t="shared" si="2"/>
        <v>6.3090101010100375E-3</v>
      </c>
      <c r="K10" s="6">
        <v>0.90363575757575798</v>
      </c>
      <c r="L10" s="6">
        <v>0.85511199999999998</v>
      </c>
      <c r="M10" s="6">
        <f t="shared" si="3"/>
        <v>-4.8523757575757998E-2</v>
      </c>
      <c r="N10" s="6">
        <v>0.86722272727272698</v>
      </c>
      <c r="O10" s="6">
        <v>0.880444</v>
      </c>
      <c r="P10" s="6">
        <f t="shared" si="4"/>
        <v>1.3221272727273026E-2</v>
      </c>
    </row>
    <row r="11" spans="1:16">
      <c r="A11" s="3" t="s">
        <v>57</v>
      </c>
      <c r="B11" s="4" t="s">
        <v>21</v>
      </c>
      <c r="C11" s="3">
        <v>3</v>
      </c>
      <c r="D11" s="5">
        <v>1038.4000000000001</v>
      </c>
      <c r="E11" s="5">
        <v>1246.8</v>
      </c>
      <c r="F11" s="5">
        <f t="shared" si="0"/>
        <v>208.39999999999986</v>
      </c>
      <c r="G11" s="6">
        <f t="shared" si="1"/>
        <v>0.20069337442218782</v>
      </c>
      <c r="H11" s="6">
        <v>0.89437466329966397</v>
      </c>
      <c r="I11" s="6">
        <v>0.89006111111111097</v>
      </c>
      <c r="J11" s="6">
        <f t="shared" si="2"/>
        <v>-4.3135521885530048E-3</v>
      </c>
      <c r="K11" s="6">
        <v>0.98728989898989905</v>
      </c>
      <c r="L11" s="6">
        <v>0.95111333333333303</v>
      </c>
      <c r="M11" s="6">
        <f t="shared" si="3"/>
        <v>-3.6176565656566018E-2</v>
      </c>
      <c r="N11" s="6">
        <v>0.901682323232323</v>
      </c>
      <c r="O11" s="6">
        <v>0.92963111111111096</v>
      </c>
      <c r="P11" s="6">
        <f t="shared" si="4"/>
        <v>2.7948787878787962E-2</v>
      </c>
    </row>
    <row r="12" spans="1:16">
      <c r="A12" s="3" t="s">
        <v>57</v>
      </c>
      <c r="B12" s="4" t="s">
        <v>20</v>
      </c>
      <c r="C12" s="3">
        <v>21</v>
      </c>
      <c r="D12" s="5">
        <v>7095.9</v>
      </c>
      <c r="E12" s="5">
        <v>7279.6</v>
      </c>
      <c r="F12" s="5">
        <f t="shared" si="0"/>
        <v>183.70000000000073</v>
      </c>
      <c r="G12" s="6">
        <f t="shared" si="1"/>
        <v>2.5888188954184915E-2</v>
      </c>
      <c r="H12" s="6">
        <v>0.85174372294372303</v>
      </c>
      <c r="I12" s="6">
        <v>0.92216888888888904</v>
      </c>
      <c r="J12" s="6">
        <f t="shared" si="2"/>
        <v>7.0425165945166013E-2</v>
      </c>
      <c r="K12" s="6">
        <v>0.85375194805194798</v>
      </c>
      <c r="L12" s="6">
        <v>0.94296349206349195</v>
      </c>
      <c r="M12" s="6">
        <f t="shared" si="3"/>
        <v>8.9211544011543964E-2</v>
      </c>
      <c r="N12" s="6">
        <v>0.87460339105339102</v>
      </c>
      <c r="O12" s="6">
        <v>0.92999809523809496</v>
      </c>
      <c r="P12" s="6">
        <f t="shared" si="4"/>
        <v>5.5394704184703936E-2</v>
      </c>
    </row>
    <row r="13" spans="1:16">
      <c r="A13" s="3" t="s">
        <v>57</v>
      </c>
      <c r="B13" s="4" t="s">
        <v>32</v>
      </c>
      <c r="C13" s="3">
        <v>2</v>
      </c>
      <c r="D13" s="5">
        <v>549.9</v>
      </c>
      <c r="E13" s="5">
        <v>725.2</v>
      </c>
      <c r="F13" s="5">
        <f t="shared" si="0"/>
        <v>175.30000000000007</v>
      </c>
      <c r="G13" s="6">
        <f t="shared" si="1"/>
        <v>0.31878523367885081</v>
      </c>
      <c r="H13" s="6">
        <v>0.86881414141414204</v>
      </c>
      <c r="I13" s="6">
        <v>0.89564722222222204</v>
      </c>
      <c r="J13" s="6">
        <f t="shared" si="2"/>
        <v>2.6833080808080001E-2</v>
      </c>
      <c r="K13" s="6">
        <v>0.99002500000000004</v>
      </c>
      <c r="L13" s="6">
        <v>0.97777333333333305</v>
      </c>
      <c r="M13" s="6">
        <f t="shared" si="3"/>
        <v>-1.2251666666666994E-2</v>
      </c>
      <c r="N13" s="6">
        <v>0.84470227272727305</v>
      </c>
      <c r="O13" s="6">
        <v>0.92666333333333295</v>
      </c>
      <c r="P13" s="6">
        <f t="shared" si="4"/>
        <v>8.1961060606059899E-2</v>
      </c>
    </row>
    <row r="14" spans="1:16">
      <c r="A14" s="3" t="s">
        <v>57</v>
      </c>
      <c r="B14" s="4" t="s">
        <v>24</v>
      </c>
      <c r="C14" s="3">
        <v>4</v>
      </c>
      <c r="D14" s="5">
        <v>1297.4000000000001</v>
      </c>
      <c r="E14" s="5">
        <v>1437</v>
      </c>
      <c r="F14" s="5">
        <f t="shared" si="0"/>
        <v>139.59999999999991</v>
      </c>
      <c r="G14" s="6">
        <f t="shared" si="1"/>
        <v>0.10759981501464459</v>
      </c>
      <c r="H14" s="6">
        <v>0.84378175505050501</v>
      </c>
      <c r="I14" s="6">
        <v>0.92324055555555595</v>
      </c>
      <c r="J14" s="6">
        <f t="shared" si="2"/>
        <v>7.9458800505050942E-2</v>
      </c>
      <c r="K14" s="6">
        <v>0.81016401515151504</v>
      </c>
      <c r="L14" s="6">
        <v>0.92805499999999996</v>
      </c>
      <c r="M14" s="6">
        <f t="shared" si="3"/>
        <v>0.11789098484848493</v>
      </c>
      <c r="N14" s="6">
        <v>0.85700795454545498</v>
      </c>
      <c r="O14" s="6">
        <v>0.99638666666666698</v>
      </c>
      <c r="P14" s="6">
        <f t="shared" si="4"/>
        <v>0.139378712121212</v>
      </c>
    </row>
    <row r="15" spans="1:16">
      <c r="A15" s="3" t="s">
        <v>57</v>
      </c>
      <c r="B15" s="4" t="s">
        <v>27</v>
      </c>
      <c r="C15" s="3">
        <v>1</v>
      </c>
      <c r="D15" s="5">
        <v>476.7</v>
      </c>
      <c r="E15" s="5">
        <v>580.4</v>
      </c>
      <c r="F15" s="5">
        <f t="shared" si="0"/>
        <v>103.69999999999999</v>
      </c>
      <c r="G15" s="6">
        <f t="shared" si="1"/>
        <v>0.21753723515838053</v>
      </c>
      <c r="H15" s="6">
        <v>0.897516919191919</v>
      </c>
      <c r="I15" s="6">
        <v>0.96074111111111105</v>
      </c>
      <c r="J15" s="6">
        <f t="shared" si="2"/>
        <v>6.3224191919192041E-2</v>
      </c>
      <c r="K15" s="6">
        <v>1</v>
      </c>
      <c r="L15" s="6">
        <v>1</v>
      </c>
      <c r="M15" s="6">
        <f t="shared" si="3"/>
        <v>0</v>
      </c>
      <c r="N15" s="6">
        <v>0.92121060606060601</v>
      </c>
      <c r="O15" s="6">
        <v>0.98444666666666703</v>
      </c>
      <c r="P15" s="6">
        <f t="shared" si="4"/>
        <v>6.3236060606061018E-2</v>
      </c>
    </row>
    <row r="16" spans="1:16">
      <c r="A16" s="3" t="s">
        <v>57</v>
      </c>
      <c r="B16" s="4" t="s">
        <v>30</v>
      </c>
      <c r="C16" s="3">
        <v>1</v>
      </c>
      <c r="D16" s="5">
        <v>378.6</v>
      </c>
      <c r="E16" s="5">
        <v>471.4</v>
      </c>
      <c r="F16" s="5">
        <f t="shared" si="0"/>
        <v>92.799999999999955</v>
      </c>
      <c r="G16" s="6">
        <f t="shared" si="1"/>
        <v>0.24511357633386147</v>
      </c>
      <c r="H16" s="6">
        <v>0.89696868686868703</v>
      </c>
      <c r="I16" s="6">
        <v>0.89222333333333403</v>
      </c>
      <c r="J16" s="6">
        <f t="shared" si="2"/>
        <v>-4.7453535353529919E-3</v>
      </c>
      <c r="K16" s="6">
        <v>0.75076060606060602</v>
      </c>
      <c r="L16" s="6">
        <v>0.72777333333333305</v>
      </c>
      <c r="M16" s="6">
        <f t="shared" si="3"/>
        <v>-2.2987272727272967E-2</v>
      </c>
      <c r="N16" s="6">
        <v>0.99974696969696997</v>
      </c>
      <c r="O16" s="6">
        <v>1</v>
      </c>
      <c r="P16" s="6">
        <f t="shared" si="4"/>
        <v>2.5303030303003293E-4</v>
      </c>
    </row>
    <row r="17" spans="1:16">
      <c r="A17" s="28" t="s">
        <v>17</v>
      </c>
      <c r="B17" s="28"/>
      <c r="C17" s="13">
        <v>54</v>
      </c>
      <c r="D17" s="14">
        <v>17587.099999999999</v>
      </c>
      <c r="E17" s="14">
        <v>20229.599999999999</v>
      </c>
      <c r="F17" s="14">
        <f t="shared" si="0"/>
        <v>2642.5</v>
      </c>
      <c r="G17" s="15">
        <f t="shared" si="1"/>
        <v>0.15025217346805331</v>
      </c>
      <c r="H17" s="15">
        <v>0.86096848578376395</v>
      </c>
      <c r="I17" s="15">
        <v>0.90089119341563795</v>
      </c>
      <c r="J17" s="15">
        <f t="shared" si="2"/>
        <v>3.9922707631873999E-2</v>
      </c>
      <c r="K17" s="15">
        <v>0.89155928731762102</v>
      </c>
      <c r="L17" s="15">
        <v>0.92777765432098802</v>
      </c>
      <c r="M17" s="15">
        <f t="shared" si="3"/>
        <v>3.6218367003367002E-2</v>
      </c>
      <c r="N17" s="15">
        <v>0.88098139730639702</v>
      </c>
      <c r="O17" s="15">
        <v>0.91999864197530901</v>
      </c>
      <c r="P17" s="15">
        <f t="shared" si="4"/>
        <v>3.9017244668911988E-2</v>
      </c>
    </row>
    <row r="18" spans="1:16">
      <c r="A18" s="3" t="s">
        <v>112</v>
      </c>
      <c r="B18" s="4" t="s">
        <v>33</v>
      </c>
      <c r="C18" s="3">
        <v>71</v>
      </c>
      <c r="D18" s="5">
        <v>15028.8</v>
      </c>
      <c r="E18" s="5">
        <v>17355.400000000001</v>
      </c>
      <c r="F18" s="5">
        <f t="shared" si="0"/>
        <v>2326.6000000000022</v>
      </c>
      <c r="G18" s="6">
        <f t="shared" si="1"/>
        <v>0.154809432556159</v>
      </c>
      <c r="H18" s="6">
        <v>0.84995136932707405</v>
      </c>
      <c r="I18" s="6">
        <v>0.84905824726134604</v>
      </c>
      <c r="J18" s="6">
        <f t="shared" si="2"/>
        <v>-8.9312206572800257E-4</v>
      </c>
      <c r="K18" s="6">
        <v>0.86225638070849298</v>
      </c>
      <c r="L18" s="6">
        <v>0.83892</v>
      </c>
      <c r="M18" s="6">
        <f t="shared" si="3"/>
        <v>-2.3336380708492976E-2</v>
      </c>
      <c r="N18" s="6">
        <v>0.85203090055484398</v>
      </c>
      <c r="O18" s="6">
        <v>0.88987408450704197</v>
      </c>
      <c r="P18" s="6">
        <f t="shared" si="4"/>
        <v>3.784318395219799E-2</v>
      </c>
    </row>
    <row r="19" spans="1:16">
      <c r="A19" s="3" t="s">
        <v>112</v>
      </c>
      <c r="B19" s="4" t="s">
        <v>34</v>
      </c>
      <c r="C19" s="3">
        <v>14</v>
      </c>
      <c r="D19" s="5">
        <v>3155.6</v>
      </c>
      <c r="E19" s="5">
        <v>3921.4</v>
      </c>
      <c r="F19" s="5">
        <f t="shared" si="0"/>
        <v>765.80000000000018</v>
      </c>
      <c r="G19" s="6">
        <f t="shared" si="1"/>
        <v>0.24267968056787939</v>
      </c>
      <c r="H19" s="6">
        <v>0.86959791666666697</v>
      </c>
      <c r="I19" s="6">
        <v>0.91747999999999996</v>
      </c>
      <c r="J19" s="6">
        <f t="shared" si="2"/>
        <v>4.7882083333332992E-2</v>
      </c>
      <c r="K19" s="6">
        <v>0.81576515151515205</v>
      </c>
      <c r="L19" s="6">
        <v>0.91027690476190504</v>
      </c>
      <c r="M19" s="6">
        <f t="shared" si="3"/>
        <v>9.4511753246752983E-2</v>
      </c>
      <c r="N19" s="6">
        <v>0.89716877705627696</v>
      </c>
      <c r="O19" s="6">
        <v>0.93686404761904796</v>
      </c>
      <c r="P19" s="6">
        <f t="shared" si="4"/>
        <v>3.9695270562771001E-2</v>
      </c>
    </row>
    <row r="20" spans="1:16">
      <c r="A20" s="3" t="s">
        <v>112</v>
      </c>
      <c r="B20" s="4" t="s">
        <v>37</v>
      </c>
      <c r="C20" s="3">
        <v>8</v>
      </c>
      <c r="D20" s="5">
        <v>2438</v>
      </c>
      <c r="E20" s="5">
        <v>2930.6</v>
      </c>
      <c r="F20" s="5">
        <f t="shared" si="0"/>
        <v>492.59999999999991</v>
      </c>
      <c r="G20" s="6">
        <f t="shared" si="1"/>
        <v>0.20205086136177192</v>
      </c>
      <c r="H20" s="6">
        <v>0.848484627525253</v>
      </c>
      <c r="I20" s="6">
        <v>0.87493083333333299</v>
      </c>
      <c r="J20" s="6">
        <f t="shared" si="2"/>
        <v>2.6446205808079992E-2</v>
      </c>
      <c r="K20" s="6">
        <v>0.95561818181818203</v>
      </c>
      <c r="L20" s="6">
        <v>0.96638916666666697</v>
      </c>
      <c r="M20" s="6">
        <f t="shared" si="3"/>
        <v>1.0770984848484932E-2</v>
      </c>
      <c r="N20" s="6">
        <v>0.79318124999999995</v>
      </c>
      <c r="O20" s="6">
        <v>0.87333416666666697</v>
      </c>
      <c r="P20" s="6">
        <f t="shared" si="4"/>
        <v>8.0152916666667018E-2</v>
      </c>
    </row>
    <row r="21" spans="1:16">
      <c r="A21" s="3" t="s">
        <v>112</v>
      </c>
      <c r="B21" s="4" t="s">
        <v>39</v>
      </c>
      <c r="C21" s="3">
        <v>13</v>
      </c>
      <c r="D21" s="5">
        <v>2759.2</v>
      </c>
      <c r="E21" s="5">
        <v>3228.6</v>
      </c>
      <c r="F21" s="5">
        <f t="shared" si="0"/>
        <v>469.40000000000009</v>
      </c>
      <c r="G21" s="6">
        <f t="shared" si="1"/>
        <v>0.17012177442737031</v>
      </c>
      <c r="H21" s="6">
        <v>0.83426789238539201</v>
      </c>
      <c r="I21" s="6">
        <v>0.84582529914529903</v>
      </c>
      <c r="J21" s="6">
        <f t="shared" si="2"/>
        <v>1.1557406759907018E-2</v>
      </c>
      <c r="K21" s="6">
        <v>0.86938208624708602</v>
      </c>
      <c r="L21" s="6">
        <v>0.85914307692307701</v>
      </c>
      <c r="M21" s="6">
        <f t="shared" si="3"/>
        <v>-1.0239009324009007E-2</v>
      </c>
      <c r="N21" s="6">
        <v>0.80501938228438197</v>
      </c>
      <c r="O21" s="6">
        <v>0.83555487179487198</v>
      </c>
      <c r="P21" s="6">
        <f t="shared" si="4"/>
        <v>3.053548951049001E-2</v>
      </c>
    </row>
    <row r="22" spans="1:16">
      <c r="A22" s="3" t="s">
        <v>112</v>
      </c>
      <c r="B22" s="4" t="s">
        <v>40</v>
      </c>
      <c r="C22" s="3">
        <v>5</v>
      </c>
      <c r="D22" s="5">
        <v>829.3</v>
      </c>
      <c r="E22" s="5">
        <v>1110.5999999999999</v>
      </c>
      <c r="F22" s="5">
        <f t="shared" si="0"/>
        <v>281.29999999999995</v>
      </c>
      <c r="G22" s="6">
        <f t="shared" si="1"/>
        <v>0.33920173640419626</v>
      </c>
      <c r="H22" s="6">
        <v>0.86660767676767703</v>
      </c>
      <c r="I22" s="6">
        <v>0.96214866666666699</v>
      </c>
      <c r="J22" s="6">
        <f t="shared" si="2"/>
        <v>9.5540989898989959E-2</v>
      </c>
      <c r="K22" s="6">
        <v>0.83227212121212102</v>
      </c>
      <c r="L22" s="6">
        <v>0.96288799999999997</v>
      </c>
      <c r="M22" s="6">
        <f t="shared" si="3"/>
        <v>0.13061587878787895</v>
      </c>
      <c r="N22" s="6">
        <v>0.84161393939394002</v>
      </c>
      <c r="O22" s="6">
        <v>0.96399999999999997</v>
      </c>
      <c r="P22" s="6">
        <f t="shared" si="4"/>
        <v>0.12238606060605994</v>
      </c>
    </row>
    <row r="23" spans="1:16">
      <c r="A23" s="3" t="s">
        <v>112</v>
      </c>
      <c r="B23" s="4" t="s">
        <v>35</v>
      </c>
      <c r="C23" s="3">
        <v>9</v>
      </c>
      <c r="D23" s="5">
        <v>1955.9</v>
      </c>
      <c r="E23" s="5">
        <v>2221.6</v>
      </c>
      <c r="F23" s="5">
        <f t="shared" si="0"/>
        <v>265.69999999999982</v>
      </c>
      <c r="G23" s="6">
        <f t="shared" si="1"/>
        <v>0.13584539086865371</v>
      </c>
      <c r="H23" s="6">
        <v>0.86044812669175397</v>
      </c>
      <c r="I23" s="6">
        <v>0.86759283950617305</v>
      </c>
      <c r="J23" s="6">
        <f t="shared" si="2"/>
        <v>7.1447128144190852E-3</v>
      </c>
      <c r="K23" s="6">
        <v>0.80185034660328802</v>
      </c>
      <c r="L23" s="6">
        <v>0.79382888888888903</v>
      </c>
      <c r="M23" s="6">
        <f t="shared" si="3"/>
        <v>-8.021457714398994E-3</v>
      </c>
      <c r="N23" s="6">
        <v>0.88375908100613998</v>
      </c>
      <c r="O23" s="6">
        <v>0.91543037037037001</v>
      </c>
      <c r="P23" s="6">
        <f t="shared" si="4"/>
        <v>3.1671289364230026E-2</v>
      </c>
    </row>
    <row r="24" spans="1:16">
      <c r="A24" s="3" t="s">
        <v>112</v>
      </c>
      <c r="B24" s="4" t="s">
        <v>38</v>
      </c>
      <c r="C24" s="3">
        <v>8</v>
      </c>
      <c r="D24" s="5">
        <v>1654.5</v>
      </c>
      <c r="E24" s="5">
        <v>1794</v>
      </c>
      <c r="F24" s="5">
        <f t="shared" si="0"/>
        <v>139.5</v>
      </c>
      <c r="G24" s="6">
        <f t="shared" si="1"/>
        <v>8.4315503173164094E-2</v>
      </c>
      <c r="H24" s="6">
        <v>0.85494011994949504</v>
      </c>
      <c r="I24" s="6">
        <v>0.80638805555555604</v>
      </c>
      <c r="J24" s="6">
        <f t="shared" si="2"/>
        <v>-4.8552064393938998E-2</v>
      </c>
      <c r="K24" s="6">
        <v>0.83478598484848499</v>
      </c>
      <c r="L24" s="6">
        <v>0.75374916666666703</v>
      </c>
      <c r="M24" s="6">
        <f t="shared" si="3"/>
        <v>-8.103681818181796E-2</v>
      </c>
      <c r="N24" s="6">
        <v>0.92840909090909096</v>
      </c>
      <c r="O24" s="6">
        <v>0.89694249999999998</v>
      </c>
      <c r="P24" s="6">
        <f t="shared" si="4"/>
        <v>-3.1466590909090986E-2</v>
      </c>
    </row>
    <row r="25" spans="1:16">
      <c r="A25" s="3" t="s">
        <v>112</v>
      </c>
      <c r="B25" s="4" t="s">
        <v>41</v>
      </c>
      <c r="C25" s="3">
        <v>1</v>
      </c>
      <c r="D25" s="5">
        <v>537.29999999999995</v>
      </c>
      <c r="E25" s="5">
        <v>592</v>
      </c>
      <c r="F25" s="5">
        <f t="shared" si="0"/>
        <v>54.700000000000045</v>
      </c>
      <c r="G25" s="6">
        <f t="shared" si="1"/>
        <v>0.10180532291085065</v>
      </c>
      <c r="H25" s="6">
        <v>0.86607727272727297</v>
      </c>
      <c r="I25" s="6">
        <v>0.85258888888888895</v>
      </c>
      <c r="J25" s="6">
        <f t="shared" si="2"/>
        <v>-1.3488383838384022E-2</v>
      </c>
      <c r="K25" s="6">
        <v>0.969693939393939</v>
      </c>
      <c r="L25" s="6">
        <v>0.98332666666666702</v>
      </c>
      <c r="M25" s="6">
        <f t="shared" si="3"/>
        <v>1.3632727272728018E-2</v>
      </c>
      <c r="N25" s="6">
        <v>0.77853636363636403</v>
      </c>
      <c r="O25" s="6">
        <v>0.88777333333333297</v>
      </c>
      <c r="P25" s="6">
        <f t="shared" si="4"/>
        <v>0.10923696969696894</v>
      </c>
    </row>
    <row r="26" spans="1:16">
      <c r="A26" s="3" t="s">
        <v>112</v>
      </c>
      <c r="B26" s="4" t="s">
        <v>43</v>
      </c>
      <c r="C26" s="3">
        <v>1</v>
      </c>
      <c r="D26" s="5">
        <v>182.7</v>
      </c>
      <c r="E26" s="5">
        <v>217.6</v>
      </c>
      <c r="F26" s="5">
        <f t="shared" si="0"/>
        <v>34.900000000000006</v>
      </c>
      <c r="G26" s="6">
        <f t="shared" si="1"/>
        <v>0.19102353585112211</v>
      </c>
      <c r="H26" s="6">
        <v>0.88564747474747496</v>
      </c>
      <c r="I26" s="6">
        <v>0.94277777777777805</v>
      </c>
      <c r="J26" s="6">
        <f t="shared" si="2"/>
        <v>5.7130303030303087E-2</v>
      </c>
      <c r="K26" s="6">
        <v>0.87020303030303003</v>
      </c>
      <c r="L26" s="6">
        <v>1</v>
      </c>
      <c r="M26" s="6">
        <f t="shared" si="3"/>
        <v>0.12979696969696997</v>
      </c>
      <c r="N26" s="6">
        <v>0.92651515151515196</v>
      </c>
      <c r="O26" s="6">
        <v>0.98333999999999999</v>
      </c>
      <c r="P26" s="6">
        <f t="shared" si="4"/>
        <v>5.6824848484848034E-2</v>
      </c>
    </row>
    <row r="27" spans="1:16">
      <c r="A27" s="3" t="s">
        <v>112</v>
      </c>
      <c r="B27" s="4" t="s">
        <v>36</v>
      </c>
      <c r="C27" s="3">
        <v>3</v>
      </c>
      <c r="D27" s="5">
        <v>513.4</v>
      </c>
      <c r="E27" s="5">
        <v>517.4</v>
      </c>
      <c r="F27" s="5">
        <f t="shared" si="0"/>
        <v>4</v>
      </c>
      <c r="G27" s="6">
        <f t="shared" si="1"/>
        <v>7.7911959485781074E-3</v>
      </c>
      <c r="H27" s="6">
        <v>0.89015176767676796</v>
      </c>
      <c r="I27" s="6">
        <v>0.83648296296296298</v>
      </c>
      <c r="J27" s="6">
        <f t="shared" si="2"/>
        <v>-5.3668804713804974E-2</v>
      </c>
      <c r="K27" s="6">
        <v>0.82971262626262599</v>
      </c>
      <c r="L27" s="6">
        <v>0.63036888888888898</v>
      </c>
      <c r="M27" s="6">
        <f t="shared" si="3"/>
        <v>-0.19934373737373701</v>
      </c>
      <c r="N27" s="6">
        <v>0.975421717171717</v>
      </c>
      <c r="O27" s="6">
        <v>0.96629777777777803</v>
      </c>
      <c r="P27" s="6">
        <f t="shared" si="4"/>
        <v>-9.1239393939389624E-3</v>
      </c>
    </row>
    <row r="28" spans="1:16">
      <c r="A28" s="3" t="s">
        <v>112</v>
      </c>
      <c r="B28" s="4" t="s">
        <v>44</v>
      </c>
      <c r="C28" s="3">
        <v>3</v>
      </c>
      <c r="D28" s="5">
        <v>326.8</v>
      </c>
      <c r="E28" s="5">
        <v>315.2</v>
      </c>
      <c r="F28" s="5">
        <f t="shared" si="0"/>
        <v>-11.600000000000023</v>
      </c>
      <c r="G28" s="6">
        <f t="shared" si="1"/>
        <v>-3.5495716034271797E-2</v>
      </c>
      <c r="H28" s="6">
        <v>0.87052382154882102</v>
      </c>
      <c r="I28" s="6">
        <v>0.90092592592592602</v>
      </c>
      <c r="J28" s="6">
        <f t="shared" si="2"/>
        <v>3.0402104377104999E-2</v>
      </c>
      <c r="K28" s="6">
        <v>0.91026818181818203</v>
      </c>
      <c r="L28" s="6">
        <v>0.90444666666666695</v>
      </c>
      <c r="M28" s="6">
        <f t="shared" si="3"/>
        <v>-5.8215151515150776E-3</v>
      </c>
      <c r="N28" s="6">
        <v>0.71405505050505103</v>
      </c>
      <c r="O28" s="6">
        <v>0.89370222222222195</v>
      </c>
      <c r="P28" s="6">
        <f t="shared" si="4"/>
        <v>0.17964717171717093</v>
      </c>
    </row>
    <row r="29" spans="1:16">
      <c r="A29" s="3" t="s">
        <v>112</v>
      </c>
      <c r="B29" s="4" t="s">
        <v>46</v>
      </c>
      <c r="C29" s="3">
        <v>1</v>
      </c>
      <c r="D29" s="5">
        <v>278.89999999999998</v>
      </c>
      <c r="E29" s="5"/>
      <c r="F29" s="5" t="str">
        <f t="shared" si="0"/>
        <v/>
      </c>
      <c r="G29" s="6" t="str">
        <f t="shared" si="1"/>
        <v/>
      </c>
      <c r="H29" s="6">
        <v>0.89019419191919202</v>
      </c>
      <c r="I29" s="6"/>
      <c r="J29" s="6" t="str">
        <f t="shared" si="2"/>
        <v/>
      </c>
      <c r="K29" s="6">
        <v>1</v>
      </c>
      <c r="L29" s="6"/>
      <c r="M29" s="6" t="str">
        <f t="shared" si="3"/>
        <v/>
      </c>
      <c r="N29" s="6">
        <v>0.92096060606060604</v>
      </c>
      <c r="O29" s="6"/>
      <c r="P29" s="6" t="str">
        <f t="shared" si="4"/>
        <v/>
      </c>
    </row>
    <row r="30" spans="1:16">
      <c r="A30" s="28" t="s">
        <v>18</v>
      </c>
      <c r="B30" s="28"/>
      <c r="C30" s="13">
        <v>137</v>
      </c>
      <c r="D30" s="14">
        <v>29660.400000000001</v>
      </c>
      <c r="E30" s="14">
        <v>34204.400000000001</v>
      </c>
      <c r="F30" s="14">
        <f t="shared" si="0"/>
        <v>4544</v>
      </c>
      <c r="G30" s="15">
        <f t="shared" si="1"/>
        <v>0.15320090086445226</v>
      </c>
      <c r="H30" s="15">
        <v>0.85397675815692398</v>
      </c>
      <c r="I30" s="15">
        <v>0.86177064542483695</v>
      </c>
      <c r="J30" s="15">
        <f t="shared" si="2"/>
        <v>7.7938872679129689E-3</v>
      </c>
      <c r="K30" s="15">
        <v>0.85915305639043904</v>
      </c>
      <c r="L30" s="15">
        <v>0.85135174019607895</v>
      </c>
      <c r="M30" s="15">
        <f t="shared" si="3"/>
        <v>-7.8013161943600862E-3</v>
      </c>
      <c r="N30" s="15">
        <v>0.85510128003955399</v>
      </c>
      <c r="O30" s="15">
        <v>0.89582036764705897</v>
      </c>
      <c r="P30" s="15">
        <f t="shared" si="4"/>
        <v>4.0719087607504978E-2</v>
      </c>
    </row>
    <row r="31" spans="1:16">
      <c r="A31" s="21" t="s">
        <v>266</v>
      </c>
      <c r="B31" s="21"/>
      <c r="C31" s="16">
        <v>191</v>
      </c>
      <c r="D31" s="11">
        <v>47247.6</v>
      </c>
      <c r="E31" s="11">
        <v>54434</v>
      </c>
      <c r="F31" s="11">
        <f t="shared" si="0"/>
        <v>7186.4000000000015</v>
      </c>
      <c r="G31" s="12">
        <f t="shared" si="1"/>
        <v>0.15210084745045255</v>
      </c>
      <c r="H31" s="12">
        <v>0.85595347696241797</v>
      </c>
      <c r="I31" s="12">
        <v>0.87288911695906402</v>
      </c>
      <c r="J31" s="12">
        <f t="shared" si="2"/>
        <v>1.6935639996646046E-2</v>
      </c>
      <c r="K31" s="12">
        <v>0.868315027437915</v>
      </c>
      <c r="L31" s="12">
        <v>0.87307278947368405</v>
      </c>
      <c r="M31" s="12">
        <f t="shared" si="3"/>
        <v>4.7577620357690531E-3</v>
      </c>
      <c r="N31" s="12">
        <v>0.86241817183227398</v>
      </c>
      <c r="O31" s="12">
        <v>0.90269208771929799</v>
      </c>
      <c r="P31" s="12">
        <f t="shared" si="4"/>
        <v>4.0273915887024003E-2</v>
      </c>
    </row>
  </sheetData>
  <mergeCells count="14">
    <mergeCell ref="A17:B17"/>
    <mergeCell ref="A30:B30"/>
    <mergeCell ref="A31:B31"/>
    <mergeCell ref="A1:P1"/>
    <mergeCell ref="A2:P2"/>
    <mergeCell ref="A3:P3"/>
    <mergeCell ref="A4:P4"/>
    <mergeCell ref="A5:A6"/>
    <mergeCell ref="B5:B6"/>
    <mergeCell ref="C5:C6"/>
    <mergeCell ref="D5:G5"/>
    <mergeCell ref="H5:J5"/>
    <mergeCell ref="K5:M5"/>
    <mergeCell ref="N5:P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3"/>
  <sheetViews>
    <sheetView workbookViewId="0"/>
  </sheetViews>
  <sheetFormatPr defaultColWidth="8.5703125" defaultRowHeight="15"/>
  <cols>
    <col min="2" max="2" width="10.85546875" customWidth="1"/>
    <col min="3" max="3" width="20.5703125" customWidth="1"/>
  </cols>
  <sheetData>
    <row r="1" spans="1:3" s="48" customFormat="1" ht="43.5" customHeight="1">
      <c r="A1" s="49" t="s">
        <v>5</v>
      </c>
      <c r="B1" s="50" t="s">
        <v>267</v>
      </c>
      <c r="C1" s="50" t="s">
        <v>19</v>
      </c>
    </row>
    <row r="2" spans="1:3">
      <c r="A2" s="34"/>
      <c r="B2" s="34"/>
      <c r="C2" s="34"/>
    </row>
    <row r="3" spans="1:3">
      <c r="A3" s="34" t="s">
        <v>20</v>
      </c>
      <c r="B3" s="35">
        <v>2907</v>
      </c>
      <c r="C3" s="35">
        <v>3705</v>
      </c>
    </row>
    <row r="4" spans="1:3">
      <c r="A4" s="34" t="s">
        <v>21</v>
      </c>
      <c r="B4" s="35">
        <v>2329</v>
      </c>
      <c r="C4" s="35">
        <v>2642</v>
      </c>
    </row>
    <row r="5" spans="1:3">
      <c r="A5" s="34" t="s">
        <v>22</v>
      </c>
      <c r="B5" s="35">
        <v>2622</v>
      </c>
      <c r="C5" s="35">
        <v>2951</v>
      </c>
    </row>
    <row r="6" spans="1:3">
      <c r="A6" s="34" t="s">
        <v>23</v>
      </c>
      <c r="B6" s="35">
        <v>1588</v>
      </c>
      <c r="C6" s="35">
        <v>1810</v>
      </c>
    </row>
    <row r="7" spans="1:3">
      <c r="A7" s="34" t="s">
        <v>24</v>
      </c>
      <c r="B7" s="35">
        <v>1593</v>
      </c>
      <c r="C7" s="35">
        <v>2301</v>
      </c>
    </row>
    <row r="8" spans="1:3">
      <c r="A8" s="34" t="s">
        <v>25</v>
      </c>
      <c r="B8" s="35">
        <v>2123</v>
      </c>
      <c r="C8" s="35">
        <v>2156</v>
      </c>
    </row>
    <row r="9" spans="1:3">
      <c r="A9" s="34" t="s">
        <v>26</v>
      </c>
      <c r="B9" s="35">
        <v>1572</v>
      </c>
      <c r="C9" s="35">
        <v>1180</v>
      </c>
    </row>
    <row r="10" spans="1:3">
      <c r="A10" s="34" t="s">
        <v>27</v>
      </c>
      <c r="B10" s="35">
        <v>2042</v>
      </c>
      <c r="C10" s="35">
        <v>1532</v>
      </c>
    </row>
    <row r="11" spans="1:3">
      <c r="A11" s="34" t="s">
        <v>28</v>
      </c>
      <c r="B11" s="35">
        <v>1224</v>
      </c>
      <c r="C11" s="35">
        <v>1231</v>
      </c>
    </row>
    <row r="12" spans="1:3">
      <c r="A12" s="34" t="s">
        <v>29</v>
      </c>
      <c r="B12" s="35">
        <v>1977</v>
      </c>
      <c r="C12" s="35">
        <v>1457</v>
      </c>
    </row>
    <row r="13" spans="1:3">
      <c r="A13" s="34" t="s">
        <v>30</v>
      </c>
      <c r="B13" s="35">
        <v>1351</v>
      </c>
      <c r="C13" s="35">
        <v>1481</v>
      </c>
    </row>
    <row r="14" spans="1:3">
      <c r="A14" s="34" t="s">
        <v>31</v>
      </c>
      <c r="B14" s="35">
        <v>1758</v>
      </c>
      <c r="C14" s="35">
        <v>1190</v>
      </c>
    </row>
    <row r="15" spans="1:3">
      <c r="A15" s="34" t="s">
        <v>32</v>
      </c>
      <c r="B15" s="35">
        <v>1522</v>
      </c>
      <c r="C15" s="35">
        <v>1201</v>
      </c>
    </row>
    <row r="16" spans="1:3">
      <c r="A16" s="34" t="s">
        <v>33</v>
      </c>
      <c r="B16" s="35">
        <v>3273</v>
      </c>
      <c r="C16" s="35">
        <v>4801</v>
      </c>
    </row>
    <row r="17" spans="1:3">
      <c r="A17" s="34" t="s">
        <v>34</v>
      </c>
      <c r="B17" s="35">
        <v>2091</v>
      </c>
      <c r="C17" s="35">
        <v>2101</v>
      </c>
    </row>
    <row r="18" spans="1:3">
      <c r="A18" s="34" t="s">
        <v>35</v>
      </c>
      <c r="B18" s="35">
        <v>1984</v>
      </c>
      <c r="C18" s="35">
        <v>2045</v>
      </c>
    </row>
    <row r="19" spans="1:3">
      <c r="A19" s="34" t="s">
        <v>36</v>
      </c>
      <c r="B19" s="35">
        <v>2027</v>
      </c>
      <c r="C19" s="35">
        <v>1994</v>
      </c>
    </row>
    <row r="20" spans="1:3">
      <c r="A20" s="34" t="s">
        <v>37</v>
      </c>
      <c r="B20" s="35">
        <v>1578</v>
      </c>
      <c r="C20" s="35">
        <v>1902</v>
      </c>
    </row>
    <row r="21" spans="1:3">
      <c r="A21" s="34" t="s">
        <v>38</v>
      </c>
      <c r="B21" s="35">
        <v>1725</v>
      </c>
      <c r="C21" s="35">
        <v>1654</v>
      </c>
    </row>
    <row r="22" spans="1:3">
      <c r="A22" s="34" t="s">
        <v>39</v>
      </c>
      <c r="B22" s="34">
        <v>918</v>
      </c>
      <c r="C22" s="34">
        <v>912</v>
      </c>
    </row>
    <row r="23" spans="1:3">
      <c r="A23" s="34" t="s">
        <v>40</v>
      </c>
      <c r="B23" s="35">
        <v>1154</v>
      </c>
      <c r="C23" s="34">
        <v>988</v>
      </c>
    </row>
    <row r="24" spans="1:3">
      <c r="A24" s="34" t="s">
        <v>41</v>
      </c>
      <c r="B24" s="35">
        <v>1061</v>
      </c>
      <c r="C24" s="34">
        <v>645</v>
      </c>
    </row>
    <row r="25" spans="1:3">
      <c r="A25" s="34" t="s">
        <v>42</v>
      </c>
      <c r="B25" s="35">
        <v>1255</v>
      </c>
      <c r="C25" s="35">
        <v>1193</v>
      </c>
    </row>
    <row r="26" spans="1:3">
      <c r="A26" s="34" t="s">
        <v>43</v>
      </c>
      <c r="B26" s="34">
        <v>824</v>
      </c>
      <c r="C26" s="34">
        <v>852</v>
      </c>
    </row>
    <row r="27" spans="1:3">
      <c r="A27" s="34" t="s">
        <v>44</v>
      </c>
      <c r="B27" s="35">
        <v>1056</v>
      </c>
      <c r="C27" s="34">
        <v>778</v>
      </c>
    </row>
    <row r="28" spans="1:3">
      <c r="A28" s="34" t="s">
        <v>45</v>
      </c>
      <c r="B28" s="34">
        <v>828</v>
      </c>
      <c r="C28" s="34">
        <v>672</v>
      </c>
    </row>
    <row r="29" spans="1:3">
      <c r="A29" s="34" t="s">
        <v>46</v>
      </c>
      <c r="B29" s="34">
        <v>735</v>
      </c>
      <c r="C29" s="34">
        <v>614</v>
      </c>
    </row>
    <row r="30" spans="1:3">
      <c r="A30" s="34" t="s">
        <v>47</v>
      </c>
      <c r="B30" s="34">
        <v>337</v>
      </c>
      <c r="C30" s="34">
        <v>213</v>
      </c>
    </row>
    <row r="31" spans="1:3">
      <c r="A31" s="34" t="s">
        <v>48</v>
      </c>
      <c r="B31" s="34">
        <v>282</v>
      </c>
      <c r="C31" s="34">
        <v>241</v>
      </c>
    </row>
    <row r="32" spans="1:3">
      <c r="A32" s="34" t="s">
        <v>49</v>
      </c>
      <c r="B32" s="34">
        <v>200</v>
      </c>
      <c r="C32" s="34">
        <v>198</v>
      </c>
    </row>
    <row r="33" spans="1:3">
      <c r="A33" s="34" t="s">
        <v>50</v>
      </c>
      <c r="B33" s="34">
        <v>306</v>
      </c>
      <c r="C33" s="34">
        <v>191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showGridLines="0" workbookViewId="0"/>
  </sheetViews>
  <sheetFormatPr defaultColWidth="8.5703125" defaultRowHeight="15"/>
  <cols>
    <col min="1" max="1" width="8" customWidth="1"/>
    <col min="2" max="2" width="13" customWidth="1"/>
    <col min="3" max="4" width="9" customWidth="1"/>
    <col min="5" max="5" width="8" customWidth="1"/>
    <col min="6" max="6" width="9" customWidth="1"/>
    <col min="7" max="8" width="10" customWidth="1"/>
    <col min="9" max="10" width="9" customWidth="1"/>
  </cols>
  <sheetData>
    <row r="1" spans="1:10" s="47" customFormat="1" ht="24" customHeight="1">
      <c r="A1" s="27" t="s">
        <v>255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18" customHeight="1">
      <c r="A2" s="22" t="s">
        <v>256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18" customHeight="1">
      <c r="A3" s="22" t="s">
        <v>257</v>
      </c>
      <c r="B3" s="22"/>
      <c r="C3" s="22"/>
      <c r="D3" s="22"/>
      <c r="E3" s="22"/>
      <c r="F3" s="22"/>
      <c r="G3" s="22"/>
      <c r="H3" s="22"/>
      <c r="I3" s="22"/>
      <c r="J3" s="22"/>
    </row>
    <row r="4" spans="1:10" ht="18" customHeight="1">
      <c r="A4" s="22" t="s">
        <v>258</v>
      </c>
      <c r="B4" s="22"/>
      <c r="C4" s="22"/>
      <c r="D4" s="22"/>
      <c r="E4" s="22"/>
      <c r="F4" s="22"/>
      <c r="G4" s="22"/>
      <c r="H4" s="22"/>
      <c r="I4" s="22"/>
      <c r="J4" s="22"/>
    </row>
    <row r="5" spans="1:10" s="48" customFormat="1" ht="18" customHeight="1">
      <c r="A5" s="36" t="s">
        <v>4</v>
      </c>
      <c r="B5" s="36" t="s">
        <v>268</v>
      </c>
      <c r="C5" s="29" t="s">
        <v>51</v>
      </c>
      <c r="D5" s="29"/>
      <c r="E5" s="29"/>
      <c r="F5" s="29"/>
      <c r="G5" s="30" t="s">
        <v>52</v>
      </c>
      <c r="H5" s="30"/>
      <c r="I5" s="30"/>
      <c r="J5" s="30"/>
    </row>
    <row r="6" spans="1:10" ht="15" customHeight="1">
      <c r="A6" s="36"/>
      <c r="B6" s="36"/>
      <c r="C6" s="17" t="s">
        <v>263</v>
      </c>
      <c r="D6" s="17" t="s">
        <v>53</v>
      </c>
      <c r="E6" s="17" t="s">
        <v>11</v>
      </c>
      <c r="F6" s="17" t="s">
        <v>12</v>
      </c>
      <c r="G6" s="18" t="s">
        <v>263</v>
      </c>
      <c r="H6" s="18" t="s">
        <v>264</v>
      </c>
      <c r="I6" s="18" t="s">
        <v>11</v>
      </c>
      <c r="J6" s="18" t="s">
        <v>12</v>
      </c>
    </row>
    <row r="7" spans="1:10">
      <c r="A7" s="3" t="s">
        <v>57</v>
      </c>
      <c r="B7" s="37" t="s">
        <v>22</v>
      </c>
      <c r="C7" s="38">
        <v>2622</v>
      </c>
      <c r="D7" s="38">
        <v>2951</v>
      </c>
      <c r="E7" s="38">
        <f t="shared" ref="E7:E40" si="0">D7-C7</f>
        <v>329</v>
      </c>
      <c r="F7" s="39">
        <f t="shared" ref="F7:F40" si="1">IFERROR((D7-C7)/C7,"")</f>
        <v>0.12547673531655226</v>
      </c>
      <c r="G7" s="38">
        <v>27057</v>
      </c>
      <c r="H7" s="38">
        <v>33730</v>
      </c>
      <c r="I7" s="38">
        <f t="shared" ref="I7:I40" si="2">H7-G7</f>
        <v>6673</v>
      </c>
      <c r="J7" s="39">
        <f t="shared" ref="J7:J40" si="3">IFERROR((H7-G7)/G7,"")</f>
        <v>0.24662749011346416</v>
      </c>
    </row>
    <row r="8" spans="1:10">
      <c r="A8" s="7" t="s">
        <v>57</v>
      </c>
      <c r="B8" s="40" t="s">
        <v>21</v>
      </c>
      <c r="C8" s="41">
        <v>2329</v>
      </c>
      <c r="D8" s="41">
        <v>2642</v>
      </c>
      <c r="E8" s="41">
        <f t="shared" si="0"/>
        <v>313</v>
      </c>
      <c r="F8" s="42">
        <f t="shared" si="1"/>
        <v>0.13439244310863033</v>
      </c>
      <c r="G8" s="41">
        <v>30620</v>
      </c>
      <c r="H8" s="41">
        <v>36557</v>
      </c>
      <c r="I8" s="41">
        <f t="shared" si="2"/>
        <v>5937</v>
      </c>
      <c r="J8" s="42">
        <f t="shared" si="3"/>
        <v>0.19389288047028086</v>
      </c>
    </row>
    <row r="9" spans="1:10">
      <c r="A9" s="3" t="s">
        <v>57</v>
      </c>
      <c r="B9" s="37" t="s">
        <v>23</v>
      </c>
      <c r="C9" s="38">
        <v>1588</v>
      </c>
      <c r="D9" s="38">
        <v>1810</v>
      </c>
      <c r="E9" s="38">
        <f t="shared" si="0"/>
        <v>222</v>
      </c>
      <c r="F9" s="39">
        <f t="shared" si="1"/>
        <v>0.1397984886649874</v>
      </c>
      <c r="G9" s="38">
        <v>20135</v>
      </c>
      <c r="H9" s="38">
        <v>25338</v>
      </c>
      <c r="I9" s="38">
        <f t="shared" si="2"/>
        <v>5203</v>
      </c>
      <c r="J9" s="39">
        <f t="shared" si="3"/>
        <v>0.2584057611124907</v>
      </c>
    </row>
    <row r="10" spans="1:10">
      <c r="A10" s="7" t="s">
        <v>57</v>
      </c>
      <c r="B10" s="40" t="s">
        <v>20</v>
      </c>
      <c r="C10" s="41">
        <v>2907</v>
      </c>
      <c r="D10" s="41">
        <v>3705</v>
      </c>
      <c r="E10" s="41">
        <f t="shared" si="0"/>
        <v>798</v>
      </c>
      <c r="F10" s="42">
        <f t="shared" si="1"/>
        <v>0.27450980392156865</v>
      </c>
      <c r="G10" s="41">
        <v>54181</v>
      </c>
      <c r="H10" s="41">
        <v>59246</v>
      </c>
      <c r="I10" s="41">
        <f t="shared" si="2"/>
        <v>5065</v>
      </c>
      <c r="J10" s="42">
        <f t="shared" si="3"/>
        <v>9.3482955279526034E-2</v>
      </c>
    </row>
    <row r="11" spans="1:10">
      <c r="A11" s="3" t="s">
        <v>57</v>
      </c>
      <c r="B11" s="37" t="s">
        <v>25</v>
      </c>
      <c r="C11" s="38">
        <v>2123</v>
      </c>
      <c r="D11" s="38">
        <v>2156</v>
      </c>
      <c r="E11" s="38">
        <f t="shared" si="0"/>
        <v>33</v>
      </c>
      <c r="F11" s="39">
        <f t="shared" si="1"/>
        <v>1.5544041450777202E-2</v>
      </c>
      <c r="G11" s="38">
        <v>14655</v>
      </c>
      <c r="H11" s="38">
        <v>19173</v>
      </c>
      <c r="I11" s="38">
        <f t="shared" si="2"/>
        <v>4518</v>
      </c>
      <c r="J11" s="39">
        <f t="shared" si="3"/>
        <v>0.3082906857727738</v>
      </c>
    </row>
    <row r="12" spans="1:10">
      <c r="A12" s="7" t="s">
        <v>57</v>
      </c>
      <c r="B12" s="40" t="s">
        <v>30</v>
      </c>
      <c r="C12" s="41">
        <v>1351</v>
      </c>
      <c r="D12" s="41">
        <v>1481</v>
      </c>
      <c r="E12" s="41">
        <f t="shared" si="0"/>
        <v>130</v>
      </c>
      <c r="F12" s="42">
        <f t="shared" si="1"/>
        <v>9.6225018504811258E-2</v>
      </c>
      <c r="G12" s="41">
        <v>10759</v>
      </c>
      <c r="H12" s="41">
        <v>14848</v>
      </c>
      <c r="I12" s="41">
        <f t="shared" si="2"/>
        <v>4089</v>
      </c>
      <c r="J12" s="42">
        <f t="shared" si="3"/>
        <v>0.38005390835579517</v>
      </c>
    </row>
    <row r="13" spans="1:10">
      <c r="A13" s="3" t="s">
        <v>57</v>
      </c>
      <c r="B13" s="37" t="s">
        <v>24</v>
      </c>
      <c r="C13" s="38">
        <v>1593</v>
      </c>
      <c r="D13" s="38">
        <v>2301</v>
      </c>
      <c r="E13" s="38">
        <f t="shared" si="0"/>
        <v>708</v>
      </c>
      <c r="F13" s="39">
        <f t="shared" si="1"/>
        <v>0.44444444444444442</v>
      </c>
      <c r="G13" s="38">
        <v>24102</v>
      </c>
      <c r="H13" s="38">
        <v>27631</v>
      </c>
      <c r="I13" s="38">
        <f t="shared" si="2"/>
        <v>3529</v>
      </c>
      <c r="J13" s="39">
        <f t="shared" si="3"/>
        <v>0.14641938428346196</v>
      </c>
    </row>
    <row r="14" spans="1:10">
      <c r="A14" s="7" t="s">
        <v>57</v>
      </c>
      <c r="B14" s="40" t="s">
        <v>28</v>
      </c>
      <c r="C14" s="41">
        <v>1224</v>
      </c>
      <c r="D14" s="41">
        <v>1231</v>
      </c>
      <c r="E14" s="41">
        <f t="shared" si="0"/>
        <v>7</v>
      </c>
      <c r="F14" s="42">
        <f t="shared" si="1"/>
        <v>5.7189542483660127E-3</v>
      </c>
      <c r="G14" s="41">
        <v>13761</v>
      </c>
      <c r="H14" s="41">
        <v>16661</v>
      </c>
      <c r="I14" s="41">
        <f t="shared" si="2"/>
        <v>2900</v>
      </c>
      <c r="J14" s="42">
        <f t="shared" si="3"/>
        <v>0.21074049851028268</v>
      </c>
    </row>
    <row r="15" spans="1:10">
      <c r="A15" s="3" t="s">
        <v>57</v>
      </c>
      <c r="B15" s="37" t="s">
        <v>31</v>
      </c>
      <c r="C15" s="38">
        <v>1758</v>
      </c>
      <c r="D15" s="38">
        <v>1190</v>
      </c>
      <c r="E15" s="38">
        <f t="shared" si="0"/>
        <v>-568</v>
      </c>
      <c r="F15" s="39">
        <f t="shared" si="1"/>
        <v>-0.32309442548350398</v>
      </c>
      <c r="G15" s="38">
        <v>11176</v>
      </c>
      <c r="H15" s="38">
        <v>13730</v>
      </c>
      <c r="I15" s="38">
        <f t="shared" si="2"/>
        <v>2554</v>
      </c>
      <c r="J15" s="39">
        <f t="shared" si="3"/>
        <v>0.22852541159627773</v>
      </c>
    </row>
    <row r="16" spans="1:10">
      <c r="A16" s="7" t="s">
        <v>57</v>
      </c>
      <c r="B16" s="40" t="s">
        <v>27</v>
      </c>
      <c r="C16" s="41">
        <v>2042</v>
      </c>
      <c r="D16" s="41">
        <v>1532</v>
      </c>
      <c r="E16" s="41">
        <f t="shared" si="0"/>
        <v>-510</v>
      </c>
      <c r="F16" s="42">
        <f t="shared" si="1"/>
        <v>-0.24975514201762977</v>
      </c>
      <c r="G16" s="41">
        <v>14868</v>
      </c>
      <c r="H16" s="41">
        <v>17299</v>
      </c>
      <c r="I16" s="41">
        <f t="shared" si="2"/>
        <v>2431</v>
      </c>
      <c r="J16" s="42">
        <f t="shared" si="3"/>
        <v>0.16350551520043047</v>
      </c>
    </row>
    <row r="17" spans="1:10">
      <c r="A17" s="3" t="s">
        <v>57</v>
      </c>
      <c r="B17" s="37" t="s">
        <v>32</v>
      </c>
      <c r="C17" s="38">
        <v>1522</v>
      </c>
      <c r="D17" s="38">
        <v>1201</v>
      </c>
      <c r="E17" s="38">
        <f t="shared" si="0"/>
        <v>-321</v>
      </c>
      <c r="F17" s="39">
        <f t="shared" si="1"/>
        <v>-0.21090670170827858</v>
      </c>
      <c r="G17" s="38">
        <v>9150</v>
      </c>
      <c r="H17" s="38">
        <v>11202</v>
      </c>
      <c r="I17" s="38">
        <f t="shared" si="2"/>
        <v>2052</v>
      </c>
      <c r="J17" s="39">
        <f t="shared" si="3"/>
        <v>0.22426229508196721</v>
      </c>
    </row>
    <row r="18" spans="1:10">
      <c r="A18" s="7" t="s">
        <v>57</v>
      </c>
      <c r="B18" s="40" t="s">
        <v>29</v>
      </c>
      <c r="C18" s="41">
        <v>1977</v>
      </c>
      <c r="D18" s="41">
        <v>1457</v>
      </c>
      <c r="E18" s="41">
        <f t="shared" si="0"/>
        <v>-520</v>
      </c>
      <c r="F18" s="42">
        <f t="shared" si="1"/>
        <v>-0.26302478502781995</v>
      </c>
      <c r="G18" s="41">
        <v>11638</v>
      </c>
      <c r="H18" s="41">
        <v>13414</v>
      </c>
      <c r="I18" s="41">
        <f t="shared" si="2"/>
        <v>1776</v>
      </c>
      <c r="J18" s="42">
        <f t="shared" si="3"/>
        <v>0.15260354012716962</v>
      </c>
    </row>
    <row r="19" spans="1:10">
      <c r="A19" s="3" t="s">
        <v>57</v>
      </c>
      <c r="B19" s="37" t="s">
        <v>26</v>
      </c>
      <c r="C19" s="38">
        <v>1572</v>
      </c>
      <c r="D19" s="38">
        <v>1180</v>
      </c>
      <c r="E19" s="38">
        <f t="shared" si="0"/>
        <v>-392</v>
      </c>
      <c r="F19" s="39">
        <f t="shared" si="1"/>
        <v>-0.24936386768447838</v>
      </c>
      <c r="G19" s="38">
        <v>15107</v>
      </c>
      <c r="H19" s="38">
        <v>11535</v>
      </c>
      <c r="I19" s="38">
        <f t="shared" si="2"/>
        <v>-3572</v>
      </c>
      <c r="J19" s="39">
        <f t="shared" si="3"/>
        <v>-0.23644668034685906</v>
      </c>
    </row>
    <row r="20" spans="1:10">
      <c r="A20" s="7" t="s">
        <v>112</v>
      </c>
      <c r="B20" s="40" t="s">
        <v>33</v>
      </c>
      <c r="C20" s="41">
        <v>3273</v>
      </c>
      <c r="D20" s="41">
        <v>4801</v>
      </c>
      <c r="E20" s="41">
        <f t="shared" si="0"/>
        <v>1528</v>
      </c>
      <c r="F20" s="42">
        <f t="shared" si="1"/>
        <v>0.46684998472349526</v>
      </c>
      <c r="G20" s="41">
        <v>28385</v>
      </c>
      <c r="H20" s="41">
        <v>33638</v>
      </c>
      <c r="I20" s="41">
        <f t="shared" si="2"/>
        <v>5253</v>
      </c>
      <c r="J20" s="42">
        <f t="shared" si="3"/>
        <v>0.18506253302800776</v>
      </c>
    </row>
    <row r="21" spans="1:10">
      <c r="A21" s="3" t="s">
        <v>112</v>
      </c>
      <c r="B21" s="37" t="s">
        <v>34</v>
      </c>
      <c r="C21" s="38">
        <v>2091</v>
      </c>
      <c r="D21" s="38">
        <v>2101</v>
      </c>
      <c r="E21" s="38">
        <f t="shared" si="0"/>
        <v>10</v>
      </c>
      <c r="F21" s="39">
        <f t="shared" si="1"/>
        <v>4.7824007651841227E-3</v>
      </c>
      <c r="G21" s="38">
        <v>15338</v>
      </c>
      <c r="H21" s="38">
        <v>18920</v>
      </c>
      <c r="I21" s="38">
        <f t="shared" si="2"/>
        <v>3582</v>
      </c>
      <c r="J21" s="39">
        <f t="shared" si="3"/>
        <v>0.23353761898552614</v>
      </c>
    </row>
    <row r="22" spans="1:10">
      <c r="A22" s="7" t="s">
        <v>112</v>
      </c>
      <c r="B22" s="40" t="s">
        <v>37</v>
      </c>
      <c r="C22" s="41">
        <v>1578</v>
      </c>
      <c r="D22" s="41">
        <v>1902</v>
      </c>
      <c r="E22" s="41">
        <f t="shared" si="0"/>
        <v>324</v>
      </c>
      <c r="F22" s="42">
        <f t="shared" si="1"/>
        <v>0.20532319391634982</v>
      </c>
      <c r="G22" s="41">
        <v>11019</v>
      </c>
      <c r="H22" s="41">
        <v>13758</v>
      </c>
      <c r="I22" s="41">
        <f t="shared" si="2"/>
        <v>2739</v>
      </c>
      <c r="J22" s="42">
        <f t="shared" si="3"/>
        <v>0.24857065069425538</v>
      </c>
    </row>
    <row r="23" spans="1:10">
      <c r="A23" s="3" t="s">
        <v>112</v>
      </c>
      <c r="B23" s="37" t="s">
        <v>36</v>
      </c>
      <c r="C23" s="38">
        <v>2027</v>
      </c>
      <c r="D23" s="38">
        <v>1994</v>
      </c>
      <c r="E23" s="38">
        <f t="shared" si="0"/>
        <v>-33</v>
      </c>
      <c r="F23" s="39">
        <f t="shared" si="1"/>
        <v>-1.6280217069560926E-2</v>
      </c>
      <c r="G23" s="38">
        <v>12703</v>
      </c>
      <c r="H23" s="38">
        <v>15260</v>
      </c>
      <c r="I23" s="38">
        <f t="shared" si="2"/>
        <v>2557</v>
      </c>
      <c r="J23" s="39">
        <f t="shared" si="3"/>
        <v>0.20129103361410691</v>
      </c>
    </row>
    <row r="24" spans="1:10">
      <c r="A24" s="7" t="s">
        <v>112</v>
      </c>
      <c r="B24" s="40" t="s">
        <v>42</v>
      </c>
      <c r="C24" s="41">
        <v>1255</v>
      </c>
      <c r="D24" s="41">
        <v>1193</v>
      </c>
      <c r="E24" s="41">
        <f t="shared" si="0"/>
        <v>-62</v>
      </c>
      <c r="F24" s="42">
        <f t="shared" si="1"/>
        <v>-4.9402390438247012E-2</v>
      </c>
      <c r="G24" s="41">
        <v>4396</v>
      </c>
      <c r="H24" s="41">
        <v>6878</v>
      </c>
      <c r="I24" s="41">
        <f t="shared" si="2"/>
        <v>2482</v>
      </c>
      <c r="J24" s="42">
        <f t="shared" si="3"/>
        <v>0.56460418562329395</v>
      </c>
    </row>
    <row r="25" spans="1:10">
      <c r="A25" s="3" t="s">
        <v>112</v>
      </c>
      <c r="B25" s="37" t="s">
        <v>40</v>
      </c>
      <c r="C25" s="38">
        <v>1154</v>
      </c>
      <c r="D25" s="38">
        <v>988</v>
      </c>
      <c r="E25" s="38">
        <f t="shared" si="0"/>
        <v>-166</v>
      </c>
      <c r="F25" s="39">
        <f t="shared" si="1"/>
        <v>-0.14384748700173311</v>
      </c>
      <c r="G25" s="38">
        <v>6832</v>
      </c>
      <c r="H25" s="38">
        <v>9189</v>
      </c>
      <c r="I25" s="38">
        <f t="shared" si="2"/>
        <v>2357</v>
      </c>
      <c r="J25" s="39">
        <f t="shared" si="3"/>
        <v>0.34499414519906324</v>
      </c>
    </row>
    <row r="26" spans="1:10">
      <c r="A26" s="7" t="s">
        <v>112</v>
      </c>
      <c r="B26" s="40" t="s">
        <v>44</v>
      </c>
      <c r="C26" s="41">
        <v>1056</v>
      </c>
      <c r="D26" s="41">
        <v>778</v>
      </c>
      <c r="E26" s="41">
        <f t="shared" si="0"/>
        <v>-278</v>
      </c>
      <c r="F26" s="42">
        <f t="shared" si="1"/>
        <v>-0.26325757575757575</v>
      </c>
      <c r="G26" s="41">
        <v>3927</v>
      </c>
      <c r="H26" s="41">
        <v>6147</v>
      </c>
      <c r="I26" s="41">
        <f t="shared" si="2"/>
        <v>2220</v>
      </c>
      <c r="J26" s="42">
        <f t="shared" si="3"/>
        <v>0.56531703590527116</v>
      </c>
    </row>
    <row r="27" spans="1:10">
      <c r="A27" s="3" t="s">
        <v>112</v>
      </c>
      <c r="B27" s="37" t="s">
        <v>35</v>
      </c>
      <c r="C27" s="38">
        <v>1984</v>
      </c>
      <c r="D27" s="38">
        <v>2045</v>
      </c>
      <c r="E27" s="38">
        <f t="shared" si="0"/>
        <v>61</v>
      </c>
      <c r="F27" s="39">
        <f t="shared" si="1"/>
        <v>3.0745967741935484E-2</v>
      </c>
      <c r="G27" s="38">
        <v>13659</v>
      </c>
      <c r="H27" s="38">
        <v>15762</v>
      </c>
      <c r="I27" s="38">
        <f t="shared" si="2"/>
        <v>2103</v>
      </c>
      <c r="J27" s="39">
        <f t="shared" si="3"/>
        <v>0.15396441906435318</v>
      </c>
    </row>
    <row r="28" spans="1:10">
      <c r="A28" s="7" t="s">
        <v>112</v>
      </c>
      <c r="B28" s="40" t="s">
        <v>39</v>
      </c>
      <c r="C28" s="41">
        <v>918</v>
      </c>
      <c r="D28" s="41">
        <v>912</v>
      </c>
      <c r="E28" s="41">
        <f t="shared" si="0"/>
        <v>-6</v>
      </c>
      <c r="F28" s="42">
        <f t="shared" si="1"/>
        <v>-6.5359477124183009E-3</v>
      </c>
      <c r="G28" s="41">
        <v>7013</v>
      </c>
      <c r="H28" s="41">
        <v>8552</v>
      </c>
      <c r="I28" s="41">
        <f t="shared" si="2"/>
        <v>1539</v>
      </c>
      <c r="J28" s="42">
        <f t="shared" si="3"/>
        <v>0.21944959361186367</v>
      </c>
    </row>
    <row r="29" spans="1:10">
      <c r="A29" s="3" t="s">
        <v>112</v>
      </c>
      <c r="B29" s="37" t="s">
        <v>38</v>
      </c>
      <c r="C29" s="38">
        <v>1725</v>
      </c>
      <c r="D29" s="38">
        <v>1654</v>
      </c>
      <c r="E29" s="38">
        <f t="shared" si="0"/>
        <v>-71</v>
      </c>
      <c r="F29" s="39">
        <f t="shared" si="1"/>
        <v>-4.1159420289855073E-2</v>
      </c>
      <c r="G29" s="38">
        <v>9118</v>
      </c>
      <c r="H29" s="38">
        <v>10612</v>
      </c>
      <c r="I29" s="38">
        <f t="shared" si="2"/>
        <v>1494</v>
      </c>
      <c r="J29" s="39">
        <f t="shared" si="3"/>
        <v>0.16385172186883087</v>
      </c>
    </row>
    <row r="30" spans="1:10">
      <c r="A30" s="7" t="s">
        <v>112</v>
      </c>
      <c r="B30" s="40" t="s">
        <v>43</v>
      </c>
      <c r="C30" s="41">
        <v>824</v>
      </c>
      <c r="D30" s="41">
        <v>852</v>
      </c>
      <c r="E30" s="41">
        <f t="shared" si="0"/>
        <v>28</v>
      </c>
      <c r="F30" s="42">
        <f t="shared" si="1"/>
        <v>3.3980582524271843E-2</v>
      </c>
      <c r="G30" s="41">
        <v>4655</v>
      </c>
      <c r="H30" s="41">
        <v>6048</v>
      </c>
      <c r="I30" s="41">
        <f t="shared" si="2"/>
        <v>1393</v>
      </c>
      <c r="J30" s="42">
        <f t="shared" si="3"/>
        <v>0.29924812030075187</v>
      </c>
    </row>
    <row r="31" spans="1:10">
      <c r="A31" s="3" t="s">
        <v>112</v>
      </c>
      <c r="B31" s="37" t="s">
        <v>45</v>
      </c>
      <c r="C31" s="38">
        <v>828</v>
      </c>
      <c r="D31" s="38">
        <v>672</v>
      </c>
      <c r="E31" s="38">
        <f t="shared" si="0"/>
        <v>-156</v>
      </c>
      <c r="F31" s="39">
        <f t="shared" si="1"/>
        <v>-0.18840579710144928</v>
      </c>
      <c r="G31" s="38">
        <v>3876</v>
      </c>
      <c r="H31" s="38">
        <v>5124</v>
      </c>
      <c r="I31" s="38">
        <f t="shared" si="2"/>
        <v>1248</v>
      </c>
      <c r="J31" s="39">
        <f t="shared" si="3"/>
        <v>0.32198142414860681</v>
      </c>
    </row>
    <row r="32" spans="1:10">
      <c r="A32" s="7" t="s">
        <v>112</v>
      </c>
      <c r="B32" s="40" t="s">
        <v>41</v>
      </c>
      <c r="C32" s="41">
        <v>1061</v>
      </c>
      <c r="D32" s="41">
        <v>645</v>
      </c>
      <c r="E32" s="41">
        <f t="shared" si="0"/>
        <v>-416</v>
      </c>
      <c r="F32" s="42">
        <f t="shared" si="1"/>
        <v>-0.39208294062205468</v>
      </c>
      <c r="G32" s="41">
        <v>5909</v>
      </c>
      <c r="H32" s="41">
        <v>6813</v>
      </c>
      <c r="I32" s="41">
        <f t="shared" si="2"/>
        <v>904</v>
      </c>
      <c r="J32" s="42">
        <f t="shared" si="3"/>
        <v>0.15298696903029277</v>
      </c>
    </row>
    <row r="33" spans="1:10">
      <c r="A33" s="3" t="s">
        <v>112</v>
      </c>
      <c r="B33" s="37" t="s">
        <v>46</v>
      </c>
      <c r="C33" s="38">
        <v>735</v>
      </c>
      <c r="D33" s="38">
        <v>614</v>
      </c>
      <c r="E33" s="38">
        <f t="shared" si="0"/>
        <v>-121</v>
      </c>
      <c r="F33" s="39">
        <f t="shared" si="1"/>
        <v>-0.16462585034013605</v>
      </c>
      <c r="G33" s="38">
        <v>1840</v>
      </c>
      <c r="H33" s="38">
        <v>2565</v>
      </c>
      <c r="I33" s="38">
        <f t="shared" si="2"/>
        <v>725</v>
      </c>
      <c r="J33" s="39">
        <f t="shared" si="3"/>
        <v>0.39402173913043476</v>
      </c>
    </row>
    <row r="34" spans="1:10">
      <c r="A34" s="7" t="s">
        <v>112</v>
      </c>
      <c r="B34" s="40" t="s">
        <v>49</v>
      </c>
      <c r="C34" s="41">
        <v>200</v>
      </c>
      <c r="D34" s="41">
        <v>198</v>
      </c>
      <c r="E34" s="41">
        <f t="shared" si="0"/>
        <v>-2</v>
      </c>
      <c r="F34" s="42">
        <f t="shared" si="1"/>
        <v>-0.01</v>
      </c>
      <c r="G34" s="41">
        <v>440</v>
      </c>
      <c r="H34" s="41">
        <v>1032</v>
      </c>
      <c r="I34" s="41">
        <f t="shared" si="2"/>
        <v>592</v>
      </c>
      <c r="J34" s="42">
        <f t="shared" si="3"/>
        <v>1.3454545454545455</v>
      </c>
    </row>
    <row r="35" spans="1:10">
      <c r="A35" s="3" t="s">
        <v>112</v>
      </c>
      <c r="B35" s="37" t="s">
        <v>50</v>
      </c>
      <c r="C35" s="38">
        <v>306</v>
      </c>
      <c r="D35" s="38">
        <v>191</v>
      </c>
      <c r="E35" s="38">
        <f t="shared" si="0"/>
        <v>-115</v>
      </c>
      <c r="F35" s="39">
        <f t="shared" si="1"/>
        <v>-0.37581699346405228</v>
      </c>
      <c r="G35" s="38">
        <v>438</v>
      </c>
      <c r="H35" s="38">
        <v>794</v>
      </c>
      <c r="I35" s="38">
        <f t="shared" si="2"/>
        <v>356</v>
      </c>
      <c r="J35" s="39">
        <f t="shared" si="3"/>
        <v>0.81278538812785384</v>
      </c>
    </row>
    <row r="36" spans="1:10">
      <c r="A36" s="7" t="s">
        <v>112</v>
      </c>
      <c r="B36" s="40" t="s">
        <v>48</v>
      </c>
      <c r="C36" s="41">
        <v>282</v>
      </c>
      <c r="D36" s="41">
        <v>241</v>
      </c>
      <c r="E36" s="41">
        <f t="shared" si="0"/>
        <v>-41</v>
      </c>
      <c r="F36" s="42">
        <f t="shared" si="1"/>
        <v>-0.1453900709219858</v>
      </c>
      <c r="G36" s="41">
        <v>810</v>
      </c>
      <c r="H36" s="41">
        <v>1097</v>
      </c>
      <c r="I36" s="41">
        <f t="shared" si="2"/>
        <v>287</v>
      </c>
      <c r="J36" s="42">
        <f t="shared" si="3"/>
        <v>0.35432098765432096</v>
      </c>
    </row>
    <row r="37" spans="1:10">
      <c r="A37" s="3" t="s">
        <v>112</v>
      </c>
      <c r="B37" s="37" t="s">
        <v>47</v>
      </c>
      <c r="C37" s="38">
        <v>337</v>
      </c>
      <c r="D37" s="38">
        <v>213</v>
      </c>
      <c r="E37" s="38">
        <f t="shared" si="0"/>
        <v>-124</v>
      </c>
      <c r="F37" s="39">
        <f t="shared" si="1"/>
        <v>-0.36795252225519287</v>
      </c>
      <c r="G37" s="38">
        <v>1840</v>
      </c>
      <c r="H37" s="38">
        <v>2022</v>
      </c>
      <c r="I37" s="38">
        <f t="shared" si="2"/>
        <v>182</v>
      </c>
      <c r="J37" s="39">
        <f t="shared" si="3"/>
        <v>9.8913043478260868E-2</v>
      </c>
    </row>
    <row r="38" spans="1:10">
      <c r="A38" s="28" t="s">
        <v>17</v>
      </c>
      <c r="B38" s="28"/>
      <c r="C38" s="43">
        <v>24608</v>
      </c>
      <c r="D38" s="43">
        <v>24837</v>
      </c>
      <c r="E38" s="43">
        <f t="shared" si="0"/>
        <v>229</v>
      </c>
      <c r="F38" s="44">
        <f t="shared" si="1"/>
        <v>9.3059167750325095E-3</v>
      </c>
      <c r="G38" s="43">
        <v>257208</v>
      </c>
      <c r="H38" s="43">
        <v>300364</v>
      </c>
      <c r="I38" s="43">
        <f t="shared" si="2"/>
        <v>43156</v>
      </c>
      <c r="J38" s="44">
        <f t="shared" si="3"/>
        <v>0.16778638300519425</v>
      </c>
    </row>
    <row r="39" spans="1:10">
      <c r="A39" s="28" t="s">
        <v>18</v>
      </c>
      <c r="B39" s="28"/>
      <c r="C39" s="43">
        <v>21634</v>
      </c>
      <c r="D39" s="43">
        <v>21994</v>
      </c>
      <c r="E39" s="43">
        <f t="shared" si="0"/>
        <v>360</v>
      </c>
      <c r="F39" s="44">
        <f t="shared" si="1"/>
        <v>1.6640473329019138E-2</v>
      </c>
      <c r="G39" s="43">
        <v>132196</v>
      </c>
      <c r="H39" s="43">
        <v>164212</v>
      </c>
      <c r="I39" s="43">
        <f t="shared" si="2"/>
        <v>32016</v>
      </c>
      <c r="J39" s="44">
        <f t="shared" si="3"/>
        <v>0.24218584526006839</v>
      </c>
    </row>
    <row r="40" spans="1:10">
      <c r="A40" s="21" t="s">
        <v>54</v>
      </c>
      <c r="B40" s="21"/>
      <c r="C40" s="45">
        <v>46242</v>
      </c>
      <c r="D40" s="45">
        <v>46831</v>
      </c>
      <c r="E40" s="45">
        <f t="shared" si="0"/>
        <v>589</v>
      </c>
      <c r="F40" s="46">
        <f t="shared" si="1"/>
        <v>1.273733835041737E-2</v>
      </c>
      <c r="G40" s="45">
        <v>389404</v>
      </c>
      <c r="H40" s="45">
        <v>464576</v>
      </c>
      <c r="I40" s="45">
        <f t="shared" si="2"/>
        <v>75172</v>
      </c>
      <c r="J40" s="46">
        <f t="shared" si="3"/>
        <v>0.19304372836437222</v>
      </c>
    </row>
  </sheetData>
  <mergeCells count="11">
    <mergeCell ref="A38:B38"/>
    <mergeCell ref="A39:B39"/>
    <mergeCell ref="A40:B40"/>
    <mergeCell ref="A1:J1"/>
    <mergeCell ref="A2:J2"/>
    <mergeCell ref="A3:J3"/>
    <mergeCell ref="A4:J4"/>
    <mergeCell ref="A5:A6"/>
    <mergeCell ref="B5:B6"/>
    <mergeCell ref="C5:F5"/>
    <mergeCell ref="G5:J5"/>
  </mergeCells>
  <phoneticPr fontId="1" type="noConversion"/>
  <conditionalFormatting sqref="F7:F37">
    <cfRule type="cellIs" dxfId="5" priority="2" operator="lessThan">
      <formula>0</formula>
    </cfRule>
  </conditionalFormatting>
  <conditionalFormatting sqref="J7:J37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"/>
  <sheetViews>
    <sheetView showGridLines="0" workbookViewId="0"/>
  </sheetViews>
  <sheetFormatPr defaultColWidth="8.5703125" defaultRowHeight="15"/>
  <cols>
    <col min="1" max="1" width="7" customWidth="1"/>
    <col min="2" max="2" width="10" customWidth="1"/>
    <col min="3" max="15" width="8.28515625" customWidth="1"/>
  </cols>
  <sheetData>
    <row r="1" spans="1:15" s="47" customFormat="1" ht="24" customHeight="1">
      <c r="A1" s="27" t="s">
        <v>259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ht="18" customHeight="1">
      <c r="A2" s="22" t="s">
        <v>260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ht="18" customHeight="1">
      <c r="A3" s="22" t="s">
        <v>261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</row>
    <row r="4" spans="1:15" ht="18" customHeight="1">
      <c r="A4" s="22" t="s">
        <v>262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</row>
    <row r="5" spans="1:15" s="48" customFormat="1" ht="18" customHeight="1">
      <c r="A5" s="36" t="s">
        <v>4</v>
      </c>
      <c r="B5" s="36" t="s">
        <v>5</v>
      </c>
      <c r="C5" s="29" t="s">
        <v>55</v>
      </c>
      <c r="D5" s="29"/>
      <c r="E5" s="29"/>
      <c r="F5" s="29"/>
      <c r="G5" s="30" t="s">
        <v>56</v>
      </c>
      <c r="H5" s="30"/>
      <c r="I5" s="30"/>
      <c r="J5" s="31" t="s">
        <v>269</v>
      </c>
      <c r="K5" s="31"/>
      <c r="L5" s="31"/>
      <c r="M5" s="32" t="s">
        <v>270</v>
      </c>
      <c r="N5" s="32"/>
      <c r="O5" s="32"/>
    </row>
    <row r="6" spans="1:15" ht="15" customHeight="1">
      <c r="A6" s="36"/>
      <c r="B6" s="36"/>
      <c r="C6" s="17" t="s">
        <v>263</v>
      </c>
      <c r="D6" s="17" t="s">
        <v>53</v>
      </c>
      <c r="E6" s="17" t="s">
        <v>11</v>
      </c>
      <c r="F6" s="17" t="s">
        <v>12</v>
      </c>
      <c r="G6" s="18" t="s">
        <v>263</v>
      </c>
      <c r="H6" s="18" t="s">
        <v>264</v>
      </c>
      <c r="I6" s="18" t="s">
        <v>12</v>
      </c>
      <c r="J6" s="19" t="s">
        <v>263</v>
      </c>
      <c r="K6" s="19" t="s">
        <v>264</v>
      </c>
      <c r="L6" s="19" t="s">
        <v>12</v>
      </c>
      <c r="M6" s="20" t="s">
        <v>263</v>
      </c>
      <c r="N6" s="20" t="s">
        <v>264</v>
      </c>
      <c r="O6" s="20" t="s">
        <v>11</v>
      </c>
    </row>
    <row r="7" spans="1:15">
      <c r="A7" s="3" t="s">
        <v>57</v>
      </c>
      <c r="B7" s="4" t="s">
        <v>22</v>
      </c>
      <c r="C7" s="5">
        <v>2622</v>
      </c>
      <c r="D7" s="5">
        <v>2951</v>
      </c>
      <c r="E7" s="5">
        <f t="shared" ref="E7:E28" si="0">IF(OR(C7="",D7=""),"",D7-C7)</f>
        <v>329</v>
      </c>
      <c r="F7" s="6">
        <f t="shared" ref="F7:F28" si="1">IF(OR(C7="",D7="",C7=0),"",(D7-C7)/C7)</f>
        <v>0.12547673531655226</v>
      </c>
      <c r="G7" s="5">
        <v>27057</v>
      </c>
      <c r="H7" s="5">
        <v>33730</v>
      </c>
      <c r="I7" s="6">
        <f t="shared" ref="I7:I29" si="2">IFERROR((H7-G7)/G7,"")</f>
        <v>0.24662749011346416</v>
      </c>
      <c r="J7" s="5">
        <v>2331.1999999999998</v>
      </c>
      <c r="K7" s="5">
        <v>2921</v>
      </c>
      <c r="L7" s="6">
        <f t="shared" ref="L7:L29" si="3">IFERROR((K7-J7)/J7,"")</f>
        <v>0.25300274536719297</v>
      </c>
      <c r="M7" s="6">
        <v>0.87277487373737395</v>
      </c>
      <c r="N7" s="6">
        <v>0.89773180555555598</v>
      </c>
      <c r="O7" s="6">
        <f t="shared" ref="O7:O28" si="4">IF(OR(M7="",N7=""),"",N7-M7)</f>
        <v>2.4956931818182038E-2</v>
      </c>
    </row>
    <row r="8" spans="1:15">
      <c r="A8" s="7" t="s">
        <v>57</v>
      </c>
      <c r="B8" s="8" t="s">
        <v>21</v>
      </c>
      <c r="C8" s="9">
        <v>2329</v>
      </c>
      <c r="D8" s="9">
        <v>2642</v>
      </c>
      <c r="E8" s="9">
        <f t="shared" si="0"/>
        <v>313</v>
      </c>
      <c r="F8" s="10">
        <f t="shared" si="1"/>
        <v>0.13439244310863033</v>
      </c>
      <c r="G8" s="9">
        <v>30620</v>
      </c>
      <c r="H8" s="9">
        <v>36557</v>
      </c>
      <c r="I8" s="10">
        <f t="shared" si="2"/>
        <v>0.19389288047028086</v>
      </c>
      <c r="J8" s="9">
        <v>1038.4000000000001</v>
      </c>
      <c r="K8" s="9">
        <v>1246.8</v>
      </c>
      <c r="L8" s="10">
        <f t="shared" si="3"/>
        <v>0.20069337442218782</v>
      </c>
      <c r="M8" s="10">
        <v>0.89437466329966397</v>
      </c>
      <c r="N8" s="10">
        <v>0.89006111111111097</v>
      </c>
      <c r="O8" s="10">
        <f t="shared" si="4"/>
        <v>-4.3135521885530048E-3</v>
      </c>
    </row>
    <row r="9" spans="1:15">
      <c r="A9" s="3" t="s">
        <v>57</v>
      </c>
      <c r="B9" s="4" t="s">
        <v>23</v>
      </c>
      <c r="C9" s="5">
        <v>1588</v>
      </c>
      <c r="D9" s="5">
        <v>1810</v>
      </c>
      <c r="E9" s="5">
        <f t="shared" si="0"/>
        <v>222</v>
      </c>
      <c r="F9" s="6">
        <f t="shared" si="1"/>
        <v>0.1397984886649874</v>
      </c>
      <c r="G9" s="5">
        <v>20135</v>
      </c>
      <c r="H9" s="5">
        <v>25338</v>
      </c>
      <c r="I9" s="6">
        <f t="shared" si="2"/>
        <v>0.2584057611124907</v>
      </c>
      <c r="J9" s="5">
        <v>1963.3</v>
      </c>
      <c r="K9" s="5">
        <v>2413.6</v>
      </c>
      <c r="L9" s="6">
        <f t="shared" si="3"/>
        <v>0.229358732745887</v>
      </c>
      <c r="M9" s="6">
        <v>0.86770467171717203</v>
      </c>
      <c r="N9" s="6">
        <v>0.85481425925925902</v>
      </c>
      <c r="O9" s="6">
        <f t="shared" si="4"/>
        <v>-1.2890412457913003E-2</v>
      </c>
    </row>
    <row r="10" spans="1:15">
      <c r="A10" s="7" t="s">
        <v>57</v>
      </c>
      <c r="B10" s="8" t="s">
        <v>20</v>
      </c>
      <c r="C10" s="9">
        <v>2907</v>
      </c>
      <c r="D10" s="9">
        <v>3705</v>
      </c>
      <c r="E10" s="9">
        <f t="shared" si="0"/>
        <v>798</v>
      </c>
      <c r="F10" s="10">
        <f t="shared" si="1"/>
        <v>0.27450980392156865</v>
      </c>
      <c r="G10" s="9">
        <v>54181</v>
      </c>
      <c r="H10" s="9">
        <v>59246</v>
      </c>
      <c r="I10" s="10">
        <f t="shared" si="2"/>
        <v>9.3482955279526034E-2</v>
      </c>
      <c r="J10" s="9">
        <v>7095.9</v>
      </c>
      <c r="K10" s="9">
        <v>7279.6</v>
      </c>
      <c r="L10" s="10">
        <f t="shared" si="3"/>
        <v>2.5888188954184915E-2</v>
      </c>
      <c r="M10" s="10">
        <v>0.85174372294372303</v>
      </c>
      <c r="N10" s="10">
        <v>0.92216888888888904</v>
      </c>
      <c r="O10" s="10">
        <f t="shared" si="4"/>
        <v>7.0425165945166013E-2</v>
      </c>
    </row>
    <row r="11" spans="1:15">
      <c r="A11" s="3" t="s">
        <v>57</v>
      </c>
      <c r="B11" s="4" t="s">
        <v>25</v>
      </c>
      <c r="C11" s="5">
        <v>2123</v>
      </c>
      <c r="D11" s="5">
        <v>2156</v>
      </c>
      <c r="E11" s="5">
        <f t="shared" si="0"/>
        <v>33</v>
      </c>
      <c r="F11" s="6">
        <f t="shared" si="1"/>
        <v>1.5544041450777202E-2</v>
      </c>
      <c r="G11" s="5">
        <v>14655</v>
      </c>
      <c r="H11" s="5">
        <v>19173</v>
      </c>
      <c r="I11" s="6">
        <f t="shared" si="2"/>
        <v>0.3082906857727738</v>
      </c>
      <c r="J11" s="5">
        <v>1448.7</v>
      </c>
      <c r="K11" s="5">
        <v>1765.4</v>
      </c>
      <c r="L11" s="6">
        <f t="shared" si="3"/>
        <v>0.21860978808587012</v>
      </c>
      <c r="M11" s="6">
        <v>0.86420787878787897</v>
      </c>
      <c r="N11" s="6">
        <v>0.87051688888888901</v>
      </c>
      <c r="O11" s="6">
        <f t="shared" si="4"/>
        <v>6.3090101010100375E-3</v>
      </c>
    </row>
    <row r="12" spans="1:15">
      <c r="A12" s="7" t="s">
        <v>57</v>
      </c>
      <c r="B12" s="8" t="s">
        <v>30</v>
      </c>
      <c r="C12" s="9">
        <v>1351</v>
      </c>
      <c r="D12" s="9">
        <v>1481</v>
      </c>
      <c r="E12" s="9">
        <f t="shared" si="0"/>
        <v>130</v>
      </c>
      <c r="F12" s="10">
        <f t="shared" si="1"/>
        <v>9.6225018504811258E-2</v>
      </c>
      <c r="G12" s="9">
        <v>10759</v>
      </c>
      <c r="H12" s="9">
        <v>14848</v>
      </c>
      <c r="I12" s="10">
        <f t="shared" si="2"/>
        <v>0.38005390835579517</v>
      </c>
      <c r="J12" s="9">
        <v>378.6</v>
      </c>
      <c r="K12" s="9">
        <v>471.4</v>
      </c>
      <c r="L12" s="10">
        <f t="shared" si="3"/>
        <v>0.24511357633386147</v>
      </c>
      <c r="M12" s="10">
        <v>0.89696868686868703</v>
      </c>
      <c r="N12" s="10">
        <v>0.89222333333333403</v>
      </c>
      <c r="O12" s="10">
        <f t="shared" si="4"/>
        <v>-4.7453535353529919E-3</v>
      </c>
    </row>
    <row r="13" spans="1:15">
      <c r="A13" s="3" t="s">
        <v>57</v>
      </c>
      <c r="B13" s="4" t="s">
        <v>24</v>
      </c>
      <c r="C13" s="5">
        <v>1593</v>
      </c>
      <c r="D13" s="5">
        <v>2301</v>
      </c>
      <c r="E13" s="5">
        <f t="shared" si="0"/>
        <v>708</v>
      </c>
      <c r="F13" s="6">
        <f t="shared" si="1"/>
        <v>0.44444444444444442</v>
      </c>
      <c r="G13" s="5">
        <v>24102</v>
      </c>
      <c r="H13" s="5">
        <v>27631</v>
      </c>
      <c r="I13" s="6">
        <f t="shared" si="2"/>
        <v>0.14641938428346196</v>
      </c>
      <c r="J13" s="5">
        <v>1297.4000000000001</v>
      </c>
      <c r="K13" s="5">
        <v>1437</v>
      </c>
      <c r="L13" s="6">
        <f t="shared" si="3"/>
        <v>0.10759981501464459</v>
      </c>
      <c r="M13" s="6">
        <v>0.84378175505050501</v>
      </c>
      <c r="N13" s="6">
        <v>0.92324055555555595</v>
      </c>
      <c r="O13" s="6">
        <f t="shared" si="4"/>
        <v>7.9458800505050942E-2</v>
      </c>
    </row>
    <row r="14" spans="1:15">
      <c r="A14" s="7" t="s">
        <v>57</v>
      </c>
      <c r="B14" s="8" t="s">
        <v>31</v>
      </c>
      <c r="C14" s="9">
        <v>1758</v>
      </c>
      <c r="D14" s="9">
        <v>1190</v>
      </c>
      <c r="E14" s="9">
        <f t="shared" si="0"/>
        <v>-568</v>
      </c>
      <c r="F14" s="10">
        <f t="shared" si="1"/>
        <v>-0.32309442548350398</v>
      </c>
      <c r="G14" s="9">
        <v>11176</v>
      </c>
      <c r="H14" s="9">
        <v>13730</v>
      </c>
      <c r="I14" s="10">
        <f t="shared" si="2"/>
        <v>0.22852541159627773</v>
      </c>
      <c r="J14" s="9">
        <v>1007.1</v>
      </c>
      <c r="K14" s="9">
        <v>1389.2</v>
      </c>
      <c r="L14" s="10">
        <f t="shared" si="3"/>
        <v>0.37940621586734191</v>
      </c>
      <c r="M14" s="10">
        <v>0.83528291245791297</v>
      </c>
      <c r="N14" s="10">
        <v>0.870616296296296</v>
      </c>
      <c r="O14" s="10">
        <f t="shared" si="4"/>
        <v>3.5333383838383026E-2</v>
      </c>
    </row>
    <row r="15" spans="1:15">
      <c r="A15" s="3" t="s">
        <v>57</v>
      </c>
      <c r="B15" s="4" t="s">
        <v>27</v>
      </c>
      <c r="C15" s="5">
        <v>2042</v>
      </c>
      <c r="D15" s="5">
        <v>1532</v>
      </c>
      <c r="E15" s="5">
        <f t="shared" si="0"/>
        <v>-510</v>
      </c>
      <c r="F15" s="6">
        <f t="shared" si="1"/>
        <v>-0.24975514201762977</v>
      </c>
      <c r="G15" s="5">
        <v>14868</v>
      </c>
      <c r="H15" s="5">
        <v>17299</v>
      </c>
      <c r="I15" s="6">
        <f t="shared" si="2"/>
        <v>0.16350551520043047</v>
      </c>
      <c r="J15" s="5">
        <v>476.7</v>
      </c>
      <c r="K15" s="5">
        <v>580.4</v>
      </c>
      <c r="L15" s="6">
        <f t="shared" si="3"/>
        <v>0.21753723515838053</v>
      </c>
      <c r="M15" s="6">
        <v>0.897516919191919</v>
      </c>
      <c r="N15" s="6">
        <v>0.96074111111111105</v>
      </c>
      <c r="O15" s="6">
        <f t="shared" si="4"/>
        <v>6.3224191919192041E-2</v>
      </c>
    </row>
    <row r="16" spans="1:15">
      <c r="A16" s="7" t="s">
        <v>57</v>
      </c>
      <c r="B16" s="8" t="s">
        <v>32</v>
      </c>
      <c r="C16" s="9">
        <v>1522</v>
      </c>
      <c r="D16" s="9">
        <v>1201</v>
      </c>
      <c r="E16" s="9">
        <f t="shared" si="0"/>
        <v>-321</v>
      </c>
      <c r="F16" s="10">
        <f t="shared" si="1"/>
        <v>-0.21090670170827858</v>
      </c>
      <c r="G16" s="9">
        <v>9150</v>
      </c>
      <c r="H16" s="9">
        <v>11202</v>
      </c>
      <c r="I16" s="10">
        <f t="shared" si="2"/>
        <v>0.22426229508196721</v>
      </c>
      <c r="J16" s="9">
        <v>549.9</v>
      </c>
      <c r="K16" s="9">
        <v>725.2</v>
      </c>
      <c r="L16" s="10">
        <f t="shared" si="3"/>
        <v>0.31878523367885081</v>
      </c>
      <c r="M16" s="10">
        <v>0.86881414141414204</v>
      </c>
      <c r="N16" s="10">
        <v>0.89564722222222204</v>
      </c>
      <c r="O16" s="10">
        <f t="shared" si="4"/>
        <v>2.6833080808080001E-2</v>
      </c>
    </row>
    <row r="17" spans="1:15">
      <c r="A17" s="3" t="s">
        <v>112</v>
      </c>
      <c r="B17" s="4" t="s">
        <v>33</v>
      </c>
      <c r="C17" s="5">
        <v>3273</v>
      </c>
      <c r="D17" s="5">
        <v>4801</v>
      </c>
      <c r="E17" s="5">
        <f t="shared" si="0"/>
        <v>1528</v>
      </c>
      <c r="F17" s="6">
        <f t="shared" si="1"/>
        <v>0.46684998472349526</v>
      </c>
      <c r="G17" s="5">
        <v>28385</v>
      </c>
      <c r="H17" s="5">
        <v>33638</v>
      </c>
      <c r="I17" s="6">
        <f t="shared" si="2"/>
        <v>0.18506253302800776</v>
      </c>
      <c r="J17" s="5">
        <v>15028.8</v>
      </c>
      <c r="K17" s="5">
        <v>17355.400000000001</v>
      </c>
      <c r="L17" s="6">
        <f t="shared" si="3"/>
        <v>0.154809432556159</v>
      </c>
      <c r="M17" s="6">
        <v>0.84995136932707405</v>
      </c>
      <c r="N17" s="6">
        <v>0.84905824726134604</v>
      </c>
      <c r="O17" s="6">
        <f t="shared" si="4"/>
        <v>-8.9312206572800257E-4</v>
      </c>
    </row>
    <row r="18" spans="1:15">
      <c r="A18" s="7" t="s">
        <v>112</v>
      </c>
      <c r="B18" s="8" t="s">
        <v>34</v>
      </c>
      <c r="C18" s="9">
        <v>2091</v>
      </c>
      <c r="D18" s="9">
        <v>2101</v>
      </c>
      <c r="E18" s="9">
        <f t="shared" si="0"/>
        <v>10</v>
      </c>
      <c r="F18" s="10">
        <f t="shared" si="1"/>
        <v>4.7824007651841227E-3</v>
      </c>
      <c r="G18" s="9">
        <v>15338</v>
      </c>
      <c r="H18" s="9">
        <v>18920</v>
      </c>
      <c r="I18" s="10">
        <f t="shared" si="2"/>
        <v>0.23353761898552614</v>
      </c>
      <c r="J18" s="9">
        <v>3155.6</v>
      </c>
      <c r="K18" s="9">
        <v>3921.4</v>
      </c>
      <c r="L18" s="10">
        <f t="shared" si="3"/>
        <v>0.24267968056787939</v>
      </c>
      <c r="M18" s="10">
        <v>0.86959791666666697</v>
      </c>
      <c r="N18" s="10">
        <v>0.91747999999999996</v>
      </c>
      <c r="O18" s="10">
        <f t="shared" si="4"/>
        <v>4.7882083333332992E-2</v>
      </c>
    </row>
    <row r="19" spans="1:15">
      <c r="A19" s="3" t="s">
        <v>112</v>
      </c>
      <c r="B19" s="4" t="s">
        <v>37</v>
      </c>
      <c r="C19" s="5">
        <v>1578</v>
      </c>
      <c r="D19" s="5">
        <v>1902</v>
      </c>
      <c r="E19" s="5">
        <f t="shared" si="0"/>
        <v>324</v>
      </c>
      <c r="F19" s="6">
        <f t="shared" si="1"/>
        <v>0.20532319391634982</v>
      </c>
      <c r="G19" s="5">
        <v>11019</v>
      </c>
      <c r="H19" s="5">
        <v>13758</v>
      </c>
      <c r="I19" s="6">
        <f t="shared" si="2"/>
        <v>0.24857065069425538</v>
      </c>
      <c r="J19" s="5">
        <v>2438</v>
      </c>
      <c r="K19" s="5">
        <v>2930.6</v>
      </c>
      <c r="L19" s="6">
        <f t="shared" si="3"/>
        <v>0.20205086136177192</v>
      </c>
      <c r="M19" s="6">
        <v>0.848484627525253</v>
      </c>
      <c r="N19" s="6">
        <v>0.87493083333333299</v>
      </c>
      <c r="O19" s="6">
        <f t="shared" si="4"/>
        <v>2.6446205808079992E-2</v>
      </c>
    </row>
    <row r="20" spans="1:15">
      <c r="A20" s="7" t="s">
        <v>112</v>
      </c>
      <c r="B20" s="8" t="s">
        <v>36</v>
      </c>
      <c r="C20" s="9">
        <v>2027</v>
      </c>
      <c r="D20" s="9">
        <v>1994</v>
      </c>
      <c r="E20" s="9">
        <f t="shared" si="0"/>
        <v>-33</v>
      </c>
      <c r="F20" s="10">
        <f t="shared" si="1"/>
        <v>-1.6280217069560926E-2</v>
      </c>
      <c r="G20" s="9">
        <v>12703</v>
      </c>
      <c r="H20" s="9">
        <v>15260</v>
      </c>
      <c r="I20" s="10">
        <f t="shared" si="2"/>
        <v>0.20129103361410691</v>
      </c>
      <c r="J20" s="9">
        <v>513.4</v>
      </c>
      <c r="K20" s="9">
        <v>517.4</v>
      </c>
      <c r="L20" s="10">
        <f t="shared" si="3"/>
        <v>7.7911959485781074E-3</v>
      </c>
      <c r="M20" s="10">
        <v>0.89015176767676796</v>
      </c>
      <c r="N20" s="10">
        <v>0.83648296296296298</v>
      </c>
      <c r="O20" s="10">
        <f t="shared" si="4"/>
        <v>-5.3668804713804974E-2</v>
      </c>
    </row>
    <row r="21" spans="1:15">
      <c r="A21" s="3" t="s">
        <v>112</v>
      </c>
      <c r="B21" s="4" t="s">
        <v>40</v>
      </c>
      <c r="C21" s="5">
        <v>1154</v>
      </c>
      <c r="D21" s="5">
        <v>988</v>
      </c>
      <c r="E21" s="5">
        <f t="shared" si="0"/>
        <v>-166</v>
      </c>
      <c r="F21" s="6">
        <f t="shared" si="1"/>
        <v>-0.14384748700173311</v>
      </c>
      <c r="G21" s="5">
        <v>6832</v>
      </c>
      <c r="H21" s="5">
        <v>9189</v>
      </c>
      <c r="I21" s="6">
        <f t="shared" si="2"/>
        <v>0.34499414519906324</v>
      </c>
      <c r="J21" s="5">
        <v>829.3</v>
      </c>
      <c r="K21" s="5">
        <v>1110.5999999999999</v>
      </c>
      <c r="L21" s="6">
        <f t="shared" si="3"/>
        <v>0.33920173640419626</v>
      </c>
      <c r="M21" s="6">
        <v>0.86660767676767703</v>
      </c>
      <c r="N21" s="6">
        <v>0.96214866666666699</v>
      </c>
      <c r="O21" s="6">
        <f t="shared" si="4"/>
        <v>9.5540989898989959E-2</v>
      </c>
    </row>
    <row r="22" spans="1:15">
      <c r="A22" s="7" t="s">
        <v>112</v>
      </c>
      <c r="B22" s="8" t="s">
        <v>44</v>
      </c>
      <c r="C22" s="9">
        <v>1056</v>
      </c>
      <c r="D22" s="9">
        <v>778</v>
      </c>
      <c r="E22" s="9">
        <f t="shared" si="0"/>
        <v>-278</v>
      </c>
      <c r="F22" s="10">
        <f t="shared" si="1"/>
        <v>-0.26325757575757575</v>
      </c>
      <c r="G22" s="9">
        <v>3927</v>
      </c>
      <c r="H22" s="9">
        <v>6147</v>
      </c>
      <c r="I22" s="10">
        <f t="shared" si="2"/>
        <v>0.56531703590527116</v>
      </c>
      <c r="J22" s="9">
        <v>326.8</v>
      </c>
      <c r="K22" s="9">
        <v>315.2</v>
      </c>
      <c r="L22" s="10">
        <f t="shared" si="3"/>
        <v>-3.5495716034271797E-2</v>
      </c>
      <c r="M22" s="10">
        <v>0.87052382154882102</v>
      </c>
      <c r="N22" s="10">
        <v>0.90092592592592602</v>
      </c>
      <c r="O22" s="10">
        <f t="shared" si="4"/>
        <v>3.0402104377104999E-2</v>
      </c>
    </row>
    <row r="23" spans="1:15">
      <c r="A23" s="3" t="s">
        <v>112</v>
      </c>
      <c r="B23" s="4" t="s">
        <v>35</v>
      </c>
      <c r="C23" s="5">
        <v>1984</v>
      </c>
      <c r="D23" s="5">
        <v>2045</v>
      </c>
      <c r="E23" s="5">
        <f t="shared" si="0"/>
        <v>61</v>
      </c>
      <c r="F23" s="6">
        <f t="shared" si="1"/>
        <v>3.0745967741935484E-2</v>
      </c>
      <c r="G23" s="5">
        <v>13659</v>
      </c>
      <c r="H23" s="5">
        <v>15762</v>
      </c>
      <c r="I23" s="6">
        <f t="shared" si="2"/>
        <v>0.15396441906435318</v>
      </c>
      <c r="J23" s="5">
        <v>1955.9</v>
      </c>
      <c r="K23" s="5">
        <v>2221.6</v>
      </c>
      <c r="L23" s="6">
        <f t="shared" si="3"/>
        <v>0.13584539086865371</v>
      </c>
      <c r="M23" s="6">
        <v>0.86044812669175397</v>
      </c>
      <c r="N23" s="6">
        <v>0.86759283950617305</v>
      </c>
      <c r="O23" s="6">
        <f t="shared" si="4"/>
        <v>7.1447128144190852E-3</v>
      </c>
    </row>
    <row r="24" spans="1:15">
      <c r="A24" s="7" t="s">
        <v>112</v>
      </c>
      <c r="B24" s="8" t="s">
        <v>39</v>
      </c>
      <c r="C24" s="9">
        <v>918</v>
      </c>
      <c r="D24" s="9">
        <v>912</v>
      </c>
      <c r="E24" s="9">
        <f t="shared" si="0"/>
        <v>-6</v>
      </c>
      <c r="F24" s="10">
        <f t="shared" si="1"/>
        <v>-6.5359477124183009E-3</v>
      </c>
      <c r="G24" s="9">
        <v>7013</v>
      </c>
      <c r="H24" s="9">
        <v>8552</v>
      </c>
      <c r="I24" s="10">
        <f t="shared" si="2"/>
        <v>0.21944959361186367</v>
      </c>
      <c r="J24" s="9">
        <v>2759.2</v>
      </c>
      <c r="K24" s="9">
        <v>3228.6</v>
      </c>
      <c r="L24" s="10">
        <f t="shared" si="3"/>
        <v>0.17012177442737031</v>
      </c>
      <c r="M24" s="10">
        <v>0.83426789238539201</v>
      </c>
      <c r="N24" s="10">
        <v>0.84582529914529903</v>
      </c>
      <c r="O24" s="10">
        <f t="shared" si="4"/>
        <v>1.1557406759907018E-2</v>
      </c>
    </row>
    <row r="25" spans="1:15">
      <c r="A25" s="3" t="s">
        <v>112</v>
      </c>
      <c r="B25" s="4" t="s">
        <v>38</v>
      </c>
      <c r="C25" s="5">
        <v>1725</v>
      </c>
      <c r="D25" s="5">
        <v>1654</v>
      </c>
      <c r="E25" s="5">
        <f t="shared" si="0"/>
        <v>-71</v>
      </c>
      <c r="F25" s="6">
        <f t="shared" si="1"/>
        <v>-4.1159420289855073E-2</v>
      </c>
      <c r="G25" s="5">
        <v>9118</v>
      </c>
      <c r="H25" s="5">
        <v>10612</v>
      </c>
      <c r="I25" s="6">
        <f t="shared" si="2"/>
        <v>0.16385172186883087</v>
      </c>
      <c r="J25" s="5">
        <v>1654.5</v>
      </c>
      <c r="K25" s="5">
        <v>1794</v>
      </c>
      <c r="L25" s="6">
        <f t="shared" si="3"/>
        <v>8.4315503173164094E-2</v>
      </c>
      <c r="M25" s="6">
        <v>0.85494011994949504</v>
      </c>
      <c r="N25" s="6">
        <v>0.80638805555555604</v>
      </c>
      <c r="O25" s="6">
        <f t="shared" si="4"/>
        <v>-4.8552064393938998E-2</v>
      </c>
    </row>
    <row r="26" spans="1:15">
      <c r="A26" s="7" t="s">
        <v>112</v>
      </c>
      <c r="B26" s="8" t="s">
        <v>43</v>
      </c>
      <c r="C26" s="9">
        <v>824</v>
      </c>
      <c r="D26" s="9">
        <v>852</v>
      </c>
      <c r="E26" s="9">
        <f t="shared" si="0"/>
        <v>28</v>
      </c>
      <c r="F26" s="10">
        <f t="shared" si="1"/>
        <v>3.3980582524271843E-2</v>
      </c>
      <c r="G26" s="9">
        <v>4655</v>
      </c>
      <c r="H26" s="9">
        <v>6048</v>
      </c>
      <c r="I26" s="10">
        <f t="shared" si="2"/>
        <v>0.29924812030075187</v>
      </c>
      <c r="J26" s="9">
        <v>182.7</v>
      </c>
      <c r="K26" s="9">
        <v>217.6</v>
      </c>
      <c r="L26" s="10">
        <f t="shared" si="3"/>
        <v>0.19102353585112211</v>
      </c>
      <c r="M26" s="10">
        <v>0.88564747474747496</v>
      </c>
      <c r="N26" s="10">
        <v>0.94277777777777805</v>
      </c>
      <c r="O26" s="10">
        <f t="shared" si="4"/>
        <v>5.7130303030303087E-2</v>
      </c>
    </row>
    <row r="27" spans="1:15">
      <c r="A27" s="3" t="s">
        <v>112</v>
      </c>
      <c r="B27" s="4" t="s">
        <v>41</v>
      </c>
      <c r="C27" s="5">
        <v>1061</v>
      </c>
      <c r="D27" s="5">
        <v>645</v>
      </c>
      <c r="E27" s="5">
        <f t="shared" si="0"/>
        <v>-416</v>
      </c>
      <c r="F27" s="6">
        <f t="shared" si="1"/>
        <v>-0.39208294062205468</v>
      </c>
      <c r="G27" s="5">
        <v>5909</v>
      </c>
      <c r="H27" s="5">
        <v>6813</v>
      </c>
      <c r="I27" s="6">
        <f t="shared" si="2"/>
        <v>0.15298696903029277</v>
      </c>
      <c r="J27" s="5">
        <v>537.29999999999995</v>
      </c>
      <c r="K27" s="5">
        <v>592</v>
      </c>
      <c r="L27" s="6">
        <f t="shared" si="3"/>
        <v>0.10180532291085065</v>
      </c>
      <c r="M27" s="6">
        <v>0.86607727272727297</v>
      </c>
      <c r="N27" s="6">
        <v>0.85258888888888895</v>
      </c>
      <c r="O27" s="6">
        <f t="shared" si="4"/>
        <v>-1.3488383838384022E-2</v>
      </c>
    </row>
    <row r="28" spans="1:15">
      <c r="A28" s="7" t="s">
        <v>112</v>
      </c>
      <c r="B28" s="8" t="s">
        <v>46</v>
      </c>
      <c r="C28" s="9">
        <v>735</v>
      </c>
      <c r="D28" s="9">
        <v>614</v>
      </c>
      <c r="E28" s="9">
        <f t="shared" si="0"/>
        <v>-121</v>
      </c>
      <c r="F28" s="10">
        <f t="shared" si="1"/>
        <v>-0.16462585034013605</v>
      </c>
      <c r="G28" s="9">
        <v>1840</v>
      </c>
      <c r="H28" s="9">
        <v>2565</v>
      </c>
      <c r="I28" s="10">
        <f t="shared" si="2"/>
        <v>0.39402173913043476</v>
      </c>
      <c r="J28" s="9">
        <v>278.89999999999998</v>
      </c>
      <c r="K28" s="9"/>
      <c r="L28" s="10">
        <f t="shared" si="3"/>
        <v>-1</v>
      </c>
      <c r="M28" s="10">
        <v>0.89019419191919202</v>
      </c>
      <c r="N28" s="10"/>
      <c r="O28" s="10" t="str">
        <f t="shared" si="4"/>
        <v/>
      </c>
    </row>
    <row r="29" spans="1:15">
      <c r="A29" s="21" t="s">
        <v>271</v>
      </c>
      <c r="B29" s="21"/>
      <c r="C29" s="11">
        <f>SUM(C7:C28)</f>
        <v>38261</v>
      </c>
      <c r="D29" s="11">
        <f>SUM(D7:D28)</f>
        <v>40255</v>
      </c>
      <c r="E29" s="11">
        <f>D29-C29</f>
        <v>1994</v>
      </c>
      <c r="F29" s="12">
        <f>IFERROR((D29-C29)/C29,"")</f>
        <v>5.2115731423642876E-2</v>
      </c>
      <c r="G29" s="11">
        <f>SUM(G7:G28)</f>
        <v>337101</v>
      </c>
      <c r="H29" s="11">
        <f>SUM(H7:H28)</f>
        <v>406018</v>
      </c>
      <c r="I29" s="12">
        <f t="shared" si="2"/>
        <v>0.20444021228059248</v>
      </c>
      <c r="J29" s="11">
        <f>SUM(J7:J28)</f>
        <v>47247.600000000006</v>
      </c>
      <c r="K29" s="11">
        <f>SUM(K7:K28)</f>
        <v>54433.999999999993</v>
      </c>
      <c r="L29" s="12">
        <f t="shared" si="3"/>
        <v>0.15210084745045221</v>
      </c>
      <c r="M29" s="12">
        <f>AVERAGE(M7:M28)</f>
        <v>0.86727556742735556</v>
      </c>
      <c r="N29" s="12">
        <f>AVERAGE(N7:N28)</f>
        <v>0.88733147472600715</v>
      </c>
      <c r="O29" s="12">
        <f>N29-M29</f>
        <v>2.0055907298651587E-2</v>
      </c>
    </row>
  </sheetData>
  <mergeCells count="11">
    <mergeCell ref="A29:B29"/>
    <mergeCell ref="A1:O1"/>
    <mergeCell ref="A2:O2"/>
    <mergeCell ref="A3:O3"/>
    <mergeCell ref="A4:O4"/>
    <mergeCell ref="A5:A6"/>
    <mergeCell ref="B5:B6"/>
    <mergeCell ref="C5:F5"/>
    <mergeCell ref="G5:I5"/>
    <mergeCell ref="J5:L5"/>
    <mergeCell ref="M5:O5"/>
  </mergeCells>
  <phoneticPr fontId="1" type="noConversion"/>
  <conditionalFormatting sqref="F7:F28">
    <cfRule type="cellIs" dxfId="3" priority="4" operator="lessThan">
      <formula>0</formula>
    </cfRule>
  </conditionalFormatting>
  <conditionalFormatting sqref="I7:I28">
    <cfRule type="cellIs" dxfId="2" priority="3" operator="lessThan">
      <formula>0</formula>
    </cfRule>
  </conditionalFormatting>
  <conditionalFormatting sqref="L7:L28">
    <cfRule type="cellIs" dxfId="1" priority="2" operator="lessThan">
      <formula>0</formula>
    </cfRule>
  </conditionalFormatting>
  <conditionalFormatting sqref="O7:O28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A級場站明細</vt:lpstr>
      <vt:lpstr>行政區比較</vt:lpstr>
      <vt:lpstr>車輛數</vt:lpstr>
      <vt:lpstr>配置與總用量</vt:lpstr>
      <vt:lpstr>配置成效整合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Ho 何文碩</cp:lastModifiedBy>
  <dcterms:modified xsi:type="dcterms:W3CDTF">2026-07-27T15:49:10Z</dcterms:modified>
</cp:coreProperties>
</file>